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drawings/drawing1.xml" ContentType="application/vnd.openxmlformats-officedocument.drawing+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intlmonetaryfund.sharepoint.com/teams/IEO-DIL/Shared Documents/Case Studies/"/>
    </mc:Choice>
  </mc:AlternateContent>
  <xr:revisionPtr revIDLastSave="730" documentId="14_{F0D913AF-747E-427C-AE5E-E9C282DD314A}" xr6:coauthVersionLast="47" xr6:coauthVersionMax="47" xr10:uidLastSave="{FE12BEAC-CA0F-4B56-92DD-8A818214388F}"/>
  <bookViews>
    <workbookView xWindow="-110" yWindow="-110" windowWidth="19420" windowHeight="11500" activeTab="2" xr2:uid="{7FF2550B-AC97-4349-B99E-E1B657C390E1}"/>
  </bookViews>
  <sheets>
    <sheet name="Country Classification" sheetId="1" r:id="rId1"/>
    <sheet name="Case Studies - Focus Group" sheetId="10" r:id="rId2"/>
    <sheet name="Country Classification - Filter" sheetId="9" r:id="rId3"/>
    <sheet name="HIPC-Distress Matrix" sheetId="5" r:id="rId4"/>
    <sheet name="Debt Transparency WBHM" sheetId="8" r:id="rId5"/>
    <sheet name="EW Comments' Tracker" sheetId="7" r:id="rId6"/>
    <sheet name="Other &gt;&gt;" sheetId="6" r:id="rId7"/>
    <sheet name="IMF Program Related Disb." sheetId="2" r:id="rId8"/>
    <sheet name="Repeated Prog" sheetId="4" r:id="rId9"/>
  </sheets>
  <definedNames>
    <definedName name="_xlnm._FilterDatabase" localSheetId="1" hidden="1">'Case Studies - Focus Group'!$A$1:$U$29</definedName>
    <definedName name="_xlnm._FilterDatabase" localSheetId="5" hidden="1">'EW Comments'' Tracker'!$A$1:$C$17</definedName>
    <definedName name="_xlnm._FilterDatabase" localSheetId="7" hidden="1">'IMF Program Related Disb.'!$A$1:$H$836</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71" i="9" l="1"/>
  <c r="AQ70" i="9"/>
  <c r="AQ69" i="9"/>
  <c r="AQ68" i="9"/>
  <c r="AQ67" i="9"/>
  <c r="AQ66" i="9"/>
  <c r="AQ64" i="9"/>
  <c r="AQ63" i="9"/>
  <c r="AQ61" i="9"/>
  <c r="AQ60" i="9"/>
  <c r="AQ58" i="9"/>
  <c r="AQ57" i="9"/>
  <c r="AQ56" i="9"/>
  <c r="AQ53" i="9"/>
  <c r="AQ52" i="9"/>
  <c r="AQ51" i="9"/>
  <c r="AQ50" i="9"/>
  <c r="AQ49" i="9"/>
  <c r="AQ48" i="9"/>
  <c r="AQ47" i="9"/>
  <c r="AQ46" i="9"/>
  <c r="AQ45" i="9"/>
  <c r="AQ44" i="9"/>
  <c r="AQ43" i="9"/>
  <c r="AQ42" i="9"/>
  <c r="AQ41" i="9"/>
  <c r="AQ39" i="9"/>
  <c r="AQ37" i="9"/>
  <c r="AQ36" i="9"/>
  <c r="AQ35" i="9"/>
  <c r="AQ34" i="9"/>
  <c r="AQ33" i="9"/>
  <c r="AQ32" i="9"/>
  <c r="AQ31" i="9"/>
  <c r="AQ30" i="9"/>
  <c r="AQ28" i="9"/>
  <c r="AQ27" i="9"/>
  <c r="AQ26" i="9"/>
  <c r="AQ25" i="9"/>
  <c r="AQ24" i="9"/>
  <c r="AQ23" i="9"/>
  <c r="AQ22" i="9"/>
  <c r="AQ21" i="9"/>
  <c r="AQ20" i="9"/>
  <c r="AQ18" i="9"/>
  <c r="AQ16" i="9"/>
  <c r="AQ15" i="9"/>
  <c r="AQ14" i="9"/>
  <c r="AQ13" i="9"/>
  <c r="AQ12" i="9"/>
  <c r="AQ11" i="9"/>
  <c r="AQ10" i="9"/>
  <c r="AQ9" i="9"/>
  <c r="AQ8" i="9"/>
  <c r="AQ7" i="9"/>
  <c r="AQ6" i="9"/>
  <c r="AQ5" i="9"/>
  <c r="AQ4" i="9"/>
  <c r="AQ3" i="9"/>
  <c r="AR3" i="1"/>
  <c r="AR4" i="1"/>
  <c r="AR5" i="1"/>
  <c r="AR6" i="1"/>
  <c r="AR7" i="1"/>
  <c r="AR8" i="1"/>
  <c r="AR9" i="1"/>
  <c r="AR10" i="1"/>
  <c r="AR11" i="1"/>
  <c r="AR12" i="1"/>
  <c r="AR13" i="1"/>
  <c r="AR14" i="1"/>
  <c r="AR15" i="1"/>
  <c r="AR16" i="1"/>
  <c r="AR18" i="1"/>
  <c r="AR20" i="1"/>
  <c r="AR21" i="1"/>
  <c r="AR22" i="1"/>
  <c r="AR23" i="1"/>
  <c r="AR24" i="1"/>
  <c r="AR25" i="1"/>
  <c r="AR26" i="1"/>
  <c r="AR27" i="1"/>
  <c r="AR28" i="1"/>
  <c r="AR30" i="1"/>
  <c r="AR31" i="1"/>
  <c r="AR32" i="1"/>
  <c r="AR33" i="1"/>
  <c r="AR34" i="1"/>
  <c r="AR35" i="1"/>
  <c r="AR36" i="1"/>
  <c r="AR37" i="1"/>
  <c r="AR39" i="1"/>
  <c r="AR41" i="1"/>
  <c r="AR42" i="1"/>
  <c r="AR43" i="1"/>
  <c r="AR44" i="1"/>
  <c r="AR45" i="1"/>
  <c r="AR46" i="1"/>
  <c r="AR47" i="1"/>
  <c r="AR48" i="1"/>
  <c r="AR49" i="1"/>
  <c r="AR50" i="1"/>
  <c r="AR51" i="1"/>
  <c r="AR52" i="1"/>
  <c r="AR53" i="1"/>
  <c r="AR56" i="1"/>
  <c r="AR57" i="1"/>
  <c r="AR58" i="1"/>
  <c r="AR60" i="1"/>
  <c r="AR61" i="1"/>
  <c r="AR63" i="1"/>
  <c r="AR64" i="1"/>
  <c r="AR66" i="1"/>
  <c r="AR67" i="1"/>
  <c r="AR68" i="1"/>
  <c r="AR69" i="1"/>
  <c r="AR70" i="1"/>
  <c r="AR71" i="1"/>
  <c r="BJ12" i="4" l="1" a="1"/>
  <c r="BJ12" i="4"/>
  <c r="BJ13" i="4" a="1"/>
  <c r="BJ13" i="4" s="1"/>
  <c r="BJ14" i="4" a="1"/>
  <c r="BJ14" i="4" s="1"/>
  <c r="BJ15" i="4" a="1"/>
  <c r="BJ15" i="4" s="1"/>
  <c r="BJ16" i="4" a="1"/>
  <c r="BJ16" i="4" s="1"/>
  <c r="BJ17" i="4" a="1"/>
  <c r="BJ17" i="4"/>
  <c r="BJ18" i="4" a="1"/>
  <c r="BJ18" i="4"/>
  <c r="BJ19" i="4" a="1"/>
  <c r="BJ19" i="4" s="1"/>
  <c r="BJ20" i="4" a="1"/>
  <c r="BJ20" i="4"/>
  <c r="BJ21" i="4" a="1"/>
  <c r="BJ21" i="4" s="1"/>
  <c r="BJ22" i="4" a="1"/>
  <c r="BJ22" i="4" s="1"/>
  <c r="BJ23" i="4" a="1"/>
  <c r="BJ23" i="4" s="1"/>
  <c r="BJ24" i="4" a="1"/>
  <c r="BJ24" i="4" s="1"/>
  <c r="BJ25" i="4" a="1"/>
  <c r="BJ25" i="4"/>
  <c r="BJ26" i="4" a="1"/>
  <c r="BJ26" i="4"/>
  <c r="BJ27" i="4" a="1"/>
  <c r="BJ27" i="4" s="1"/>
  <c r="BJ28" i="4" a="1"/>
  <c r="BJ28" i="4"/>
  <c r="BJ29" i="4" a="1"/>
  <c r="BJ29" i="4" s="1"/>
  <c r="BJ30" i="4" a="1"/>
  <c r="BJ30" i="4" s="1"/>
  <c r="BJ31" i="4" a="1"/>
  <c r="BJ31" i="4" s="1"/>
  <c r="BJ32" i="4" a="1"/>
  <c r="BJ32" i="4" s="1"/>
  <c r="BJ33" i="4" a="1"/>
  <c r="BJ33" i="4"/>
  <c r="BJ34" i="4" a="1"/>
  <c r="BJ34" i="4"/>
  <c r="BJ35" i="4" a="1"/>
  <c r="BJ35" i="4" s="1"/>
  <c r="BJ36" i="4" a="1"/>
  <c r="BJ36" i="4"/>
  <c r="BJ37" i="4" a="1"/>
  <c r="BJ37" i="4" s="1"/>
  <c r="BJ38" i="4" a="1"/>
  <c r="BJ38" i="4" s="1"/>
  <c r="BJ39" i="4" a="1"/>
  <c r="BJ39" i="4" s="1"/>
  <c r="BJ40" i="4" a="1"/>
  <c r="BJ40" i="4" s="1"/>
  <c r="BJ41" i="4" a="1"/>
  <c r="BJ41" i="4"/>
  <c r="BJ42" i="4" a="1"/>
  <c r="BJ42" i="4"/>
  <c r="BJ43" i="4" a="1"/>
  <c r="BJ43" i="4" s="1"/>
  <c r="BJ44" i="4" a="1"/>
  <c r="BJ44" i="4"/>
  <c r="BJ45" i="4" a="1"/>
  <c r="BJ45" i="4" s="1"/>
  <c r="BJ46" i="4" a="1"/>
  <c r="BJ46" i="4" s="1"/>
  <c r="BJ47" i="4" a="1"/>
  <c r="BJ47" i="4" s="1"/>
  <c r="BJ48" i="4" a="1"/>
  <c r="BJ48" i="4" s="1"/>
  <c r="BJ49" i="4" a="1"/>
  <c r="BJ49" i="4" s="1"/>
  <c r="BJ50" i="4" a="1"/>
  <c r="BJ50" i="4"/>
  <c r="BJ51" i="4" a="1"/>
  <c r="BJ51" i="4" s="1"/>
  <c r="BJ52" i="4" a="1"/>
  <c r="BJ52" i="4" s="1"/>
  <c r="BJ53" i="4" a="1"/>
  <c r="BJ53" i="4" s="1"/>
  <c r="BJ54" i="4" a="1"/>
  <c r="BJ54" i="4" s="1"/>
  <c r="BJ55" i="4" a="1"/>
  <c r="BJ55" i="4" s="1"/>
  <c r="BJ56" i="4" a="1"/>
  <c r="BJ56" i="4" s="1"/>
  <c r="BJ57" i="4" a="1"/>
  <c r="BJ57" i="4"/>
  <c r="BJ58" i="4" a="1"/>
  <c r="BJ58" i="4" s="1"/>
  <c r="BJ59" i="4" a="1"/>
  <c r="BJ59" i="4" s="1"/>
  <c r="BJ60" i="4" a="1"/>
  <c r="BJ60" i="4" s="1"/>
  <c r="BJ61" i="4" a="1"/>
  <c r="BJ61" i="4" s="1"/>
  <c r="BJ62" i="4" a="1"/>
  <c r="BJ62" i="4" s="1"/>
  <c r="BJ63" i="4" a="1"/>
  <c r="BJ63" i="4" s="1"/>
  <c r="BJ11" i="4" a="1"/>
  <c r="BJ11" i="4" s="1"/>
  <c r="BI12" i="4"/>
  <c r="BI13" i="4"/>
  <c r="BI14" i="4"/>
  <c r="BI15" i="4"/>
  <c r="BI16" i="4"/>
  <c r="BI17" i="4"/>
  <c r="BI18" i="4"/>
  <c r="BI19" i="4"/>
  <c r="BI20" i="4"/>
  <c r="BI21" i="4"/>
  <c r="BI22" i="4"/>
  <c r="BI23" i="4"/>
  <c r="BI24" i="4"/>
  <c r="BI25" i="4"/>
  <c r="BI26" i="4"/>
  <c r="BI27" i="4"/>
  <c r="BI28" i="4"/>
  <c r="BI29" i="4"/>
  <c r="BI30" i="4"/>
  <c r="BI31" i="4"/>
  <c r="BI32" i="4"/>
  <c r="BI33" i="4"/>
  <c r="BI34" i="4"/>
  <c r="BI35" i="4"/>
  <c r="BI36" i="4"/>
  <c r="BI37" i="4"/>
  <c r="BI38" i="4"/>
  <c r="BI39" i="4"/>
  <c r="BI40" i="4"/>
  <c r="BI41" i="4"/>
  <c r="BI42" i="4"/>
  <c r="BI43" i="4"/>
  <c r="BI44" i="4"/>
  <c r="BI45" i="4"/>
  <c r="BI46" i="4"/>
  <c r="BI47" i="4"/>
  <c r="BI48" i="4"/>
  <c r="BI49" i="4"/>
  <c r="BI50" i="4"/>
  <c r="BI51" i="4"/>
  <c r="BI52" i="4"/>
  <c r="BI53" i="4"/>
  <c r="BI54" i="4"/>
  <c r="BI55" i="4"/>
  <c r="BI56" i="4"/>
  <c r="BI57" i="4"/>
  <c r="BI58" i="4"/>
  <c r="BI59" i="4"/>
  <c r="BI60" i="4"/>
  <c r="BI61" i="4"/>
  <c r="BI62" i="4"/>
  <c r="BI63" i="4"/>
  <c r="BI11" i="4"/>
  <c r="R166" i="4"/>
  <c r="Q166" i="4"/>
  <c r="S166" i="4" s="1"/>
  <c r="R165" i="4"/>
  <c r="Q165" i="4"/>
  <c r="S165" i="4" s="1"/>
  <c r="R164" i="4"/>
  <c r="Q164" i="4"/>
  <c r="S164" i="4" s="1"/>
  <c r="S163" i="4"/>
  <c r="R163" i="4"/>
  <c r="Q163" i="4"/>
  <c r="R162" i="4"/>
  <c r="Q162" i="4"/>
  <c r="S162" i="4" s="1"/>
  <c r="R161" i="4"/>
  <c r="S161" i="4" s="1"/>
  <c r="Q161" i="4"/>
  <c r="R160" i="4"/>
  <c r="Q160" i="4"/>
  <c r="R159" i="4"/>
  <c r="S159" i="4" s="1"/>
  <c r="Q159" i="4"/>
  <c r="R158" i="4"/>
  <c r="Q158" i="4"/>
  <c r="R157" i="4"/>
  <c r="S157" i="4" s="1"/>
  <c r="Q157" i="4"/>
  <c r="R156" i="4"/>
  <c r="Q156" i="4"/>
  <c r="S155" i="4"/>
  <c r="R155" i="4"/>
  <c r="Q155" i="4"/>
  <c r="R154" i="4"/>
  <c r="S154" i="4" s="1"/>
  <c r="Q154" i="4"/>
  <c r="S153" i="4"/>
  <c r="R153" i="4"/>
  <c r="Q153" i="4"/>
  <c r="R152" i="4"/>
  <c r="Q152" i="4"/>
  <c r="S152" i="4" s="1"/>
  <c r="S151" i="4"/>
  <c r="R151" i="4"/>
  <c r="Q151" i="4"/>
  <c r="R150" i="4"/>
  <c r="Q150" i="4"/>
  <c r="S149" i="4"/>
  <c r="R149" i="4"/>
  <c r="Q149" i="4"/>
  <c r="R148" i="4"/>
  <c r="Q148" i="4"/>
  <c r="R147" i="4"/>
  <c r="Q147" i="4"/>
  <c r="S147" i="4" s="1"/>
  <c r="S146" i="4"/>
  <c r="R146" i="4"/>
  <c r="Q146" i="4"/>
  <c r="R145" i="4"/>
  <c r="S145" i="4" s="1"/>
  <c r="Q145" i="4"/>
  <c r="R144" i="4"/>
  <c r="Q144" i="4"/>
  <c r="R143" i="4"/>
  <c r="S143" i="4" s="1"/>
  <c r="Q143" i="4"/>
  <c r="R142" i="4"/>
  <c r="Q142" i="4"/>
  <c r="S142" i="4" s="1"/>
  <c r="R141" i="4"/>
  <c r="S141" i="4" s="1"/>
  <c r="Q141" i="4"/>
  <c r="R140" i="4"/>
  <c r="Q140" i="4"/>
  <c r="S140" i="4" s="1"/>
  <c r="R139" i="4"/>
  <c r="Q139" i="4"/>
  <c r="S139" i="4" s="1"/>
  <c r="R138" i="4"/>
  <c r="Q138" i="4"/>
  <c r="S138" i="4" s="1"/>
  <c r="R137" i="4"/>
  <c r="S137" i="4" s="1"/>
  <c r="Q137" i="4"/>
  <c r="R136" i="4"/>
  <c r="Q136" i="4"/>
  <c r="R135" i="4"/>
  <c r="S135" i="4" s="1"/>
  <c r="Q135" i="4"/>
  <c r="R134" i="4"/>
  <c r="Q134" i="4"/>
  <c r="S134" i="4" s="1"/>
  <c r="R133" i="4"/>
  <c r="Q133" i="4"/>
  <c r="S133" i="4" s="1"/>
  <c r="R132" i="4"/>
  <c r="Q132" i="4"/>
  <c r="S132" i="4" s="1"/>
  <c r="S131" i="4"/>
  <c r="R131" i="4"/>
  <c r="Q131" i="4"/>
  <c r="R130" i="4"/>
  <c r="Q130" i="4"/>
  <c r="R129" i="4"/>
  <c r="S129" i="4" s="1"/>
  <c r="Q129" i="4"/>
  <c r="R128" i="4"/>
  <c r="S128" i="4" s="1"/>
  <c r="Q128" i="4"/>
  <c r="S127" i="4"/>
  <c r="R127" i="4"/>
  <c r="Q127" i="4"/>
  <c r="R126" i="4"/>
  <c r="Q126" i="4"/>
  <c r="S125" i="4"/>
  <c r="R125" i="4"/>
  <c r="Q125" i="4"/>
  <c r="R124" i="4"/>
  <c r="Q124" i="4"/>
  <c r="S124" i="4" s="1"/>
  <c r="R123" i="4"/>
  <c r="Q123" i="4"/>
  <c r="S123" i="4" s="1"/>
  <c r="R122" i="4"/>
  <c r="S122" i="4" s="1"/>
  <c r="Q122" i="4"/>
  <c r="S121" i="4"/>
  <c r="R121" i="4"/>
  <c r="Q121" i="4"/>
  <c r="R120" i="4"/>
  <c r="Q120" i="4"/>
  <c r="S120" i="4" s="1"/>
  <c r="R119" i="4"/>
  <c r="S119" i="4" s="1"/>
  <c r="Q119" i="4"/>
  <c r="R118" i="4"/>
  <c r="Q118" i="4"/>
  <c r="S118" i="4" s="1"/>
  <c r="T117" i="4"/>
  <c r="R117" i="4"/>
  <c r="S117" i="4" s="1"/>
  <c r="Q117" i="4"/>
  <c r="R116" i="4"/>
  <c r="Q116" i="4"/>
  <c r="S115" i="4"/>
  <c r="R115" i="4"/>
  <c r="Q115" i="4"/>
  <c r="R114" i="4"/>
  <c r="Q114" i="4"/>
  <c r="S114" i="4" s="1"/>
  <c r="R113" i="4"/>
  <c r="Q113" i="4"/>
  <c r="S113" i="4" s="1"/>
  <c r="R112" i="4"/>
  <c r="S112" i="4" s="1"/>
  <c r="Q112" i="4"/>
  <c r="S111" i="4"/>
  <c r="R111" i="4"/>
  <c r="Q111" i="4"/>
  <c r="R110" i="4"/>
  <c r="S110" i="4" s="1"/>
  <c r="Q110" i="4"/>
  <c r="R109" i="4"/>
  <c r="Q109" i="4"/>
  <c r="S109" i="4" s="1"/>
  <c r="R108" i="4"/>
  <c r="Q108" i="4"/>
  <c r="S108" i="4" s="1"/>
  <c r="R107" i="4"/>
  <c r="Q107" i="4"/>
  <c r="S107" i="4" s="1"/>
  <c r="R106" i="4"/>
  <c r="Q106" i="4"/>
  <c r="S106" i="4" s="1"/>
  <c r="R105" i="4"/>
  <c r="Q105" i="4"/>
  <c r="S105" i="4" s="1"/>
  <c r="R104" i="4"/>
  <c r="Q104" i="4"/>
  <c r="R103" i="4"/>
  <c r="S103" i="4" s="1"/>
  <c r="Q103" i="4"/>
  <c r="S102" i="4"/>
  <c r="R102" i="4"/>
  <c r="Q102" i="4"/>
  <c r="R101" i="4"/>
  <c r="S101" i="4" s="1"/>
  <c r="Q101" i="4"/>
  <c r="R100" i="4"/>
  <c r="Q100" i="4"/>
  <c r="R99" i="4"/>
  <c r="Q99" i="4"/>
  <c r="R98" i="4"/>
  <c r="Q98" i="4"/>
  <c r="S98" i="4" s="1"/>
  <c r="S97" i="4"/>
  <c r="R97" i="4"/>
  <c r="Q97" i="4"/>
  <c r="R96" i="4"/>
  <c r="Q96" i="4"/>
  <c r="R95" i="4"/>
  <c r="Q95" i="4"/>
  <c r="S95" i="4" s="1"/>
  <c r="R94" i="4"/>
  <c r="S94" i="4" s="1"/>
  <c r="Q94" i="4"/>
  <c r="R93" i="4"/>
  <c r="S93" i="4" s="1"/>
  <c r="Q93" i="4"/>
  <c r="R92" i="4"/>
  <c r="Q92" i="4"/>
  <c r="S92" i="4" s="1"/>
  <c r="S91" i="4"/>
  <c r="R91" i="4"/>
  <c r="Q91" i="4"/>
  <c r="R90" i="4"/>
  <c r="Q90" i="4"/>
  <c r="S90" i="4" s="1"/>
  <c r="S89" i="4"/>
  <c r="R89" i="4"/>
  <c r="Q89" i="4"/>
  <c r="R88" i="4"/>
  <c r="Q88" i="4"/>
  <c r="S88" i="4" s="1"/>
  <c r="R87" i="4"/>
  <c r="Q87" i="4"/>
  <c r="S87" i="4" s="1"/>
  <c r="R86" i="4"/>
  <c r="S86" i="4" s="1"/>
  <c r="Q86" i="4"/>
  <c r="R85" i="4"/>
  <c r="Q85" i="4"/>
  <c r="S84" i="4"/>
  <c r="R84" i="4"/>
  <c r="Q84" i="4"/>
  <c r="R83" i="4"/>
  <c r="Q83" i="4"/>
  <c r="S83" i="4" s="1"/>
  <c r="S82" i="4"/>
  <c r="R82" i="4"/>
  <c r="Q82" i="4"/>
  <c r="S81" i="4"/>
  <c r="R81" i="4"/>
  <c r="Q81" i="4"/>
  <c r="R80" i="4"/>
  <c r="Q80" i="4"/>
  <c r="S80" i="4" s="1"/>
  <c r="R79" i="4"/>
  <c r="Q79" i="4"/>
  <c r="S79" i="4" s="1"/>
  <c r="R78" i="4"/>
  <c r="Q78" i="4"/>
  <c r="S78" i="4" s="1"/>
  <c r="R77" i="4"/>
  <c r="Q77" i="4"/>
  <c r="S77" i="4" s="1"/>
  <c r="S76" i="4"/>
  <c r="R76" i="4"/>
  <c r="Q76" i="4"/>
  <c r="T75" i="4"/>
  <c r="S75" i="4"/>
  <c r="R75" i="4"/>
  <c r="Q75" i="4"/>
  <c r="R74" i="4"/>
  <c r="Q74" i="4"/>
  <c r="S74" i="4" s="1"/>
  <c r="S73" i="4"/>
  <c r="R73" i="4"/>
  <c r="Q73" i="4"/>
  <c r="S72" i="4"/>
  <c r="R72" i="4"/>
  <c r="Q72" i="4"/>
  <c r="R71" i="4"/>
  <c r="Q71" i="4"/>
  <c r="S71" i="4" s="1"/>
  <c r="R70" i="4"/>
  <c r="Q70" i="4"/>
  <c r="S70" i="4" s="1"/>
  <c r="S69" i="4"/>
  <c r="R69" i="4"/>
  <c r="Q69" i="4"/>
  <c r="S68" i="4"/>
  <c r="R68" i="4"/>
  <c r="Q68" i="4"/>
  <c r="R67" i="4"/>
  <c r="Q67" i="4"/>
  <c r="S67" i="4" s="1"/>
  <c r="R66" i="4"/>
  <c r="Q66" i="4"/>
  <c r="S66" i="4" s="1"/>
  <c r="S65" i="4"/>
  <c r="R65" i="4"/>
  <c r="Q65" i="4"/>
  <c r="R64" i="4"/>
  <c r="S64" i="4" s="1"/>
  <c r="Q64" i="4"/>
  <c r="R63" i="4"/>
  <c r="Q63" i="4"/>
  <c r="S63" i="4" s="1"/>
  <c r="S62" i="4"/>
  <c r="R62" i="4"/>
  <c r="Q62" i="4"/>
  <c r="R61" i="4"/>
  <c r="S61" i="4" s="1"/>
  <c r="Q61" i="4"/>
  <c r="R60" i="4"/>
  <c r="Q60" i="4"/>
  <c r="S60" i="4" s="1"/>
  <c r="S59" i="4"/>
  <c r="R59" i="4"/>
  <c r="Q59" i="4"/>
  <c r="R58" i="4"/>
  <c r="S58" i="4" s="1"/>
  <c r="Q58" i="4"/>
  <c r="R57" i="4"/>
  <c r="Q57" i="4"/>
  <c r="S57" i="4" s="1"/>
  <c r="S56" i="4"/>
  <c r="R56" i="4"/>
  <c r="Q56" i="4"/>
  <c r="R55" i="4"/>
  <c r="Q55" i="4"/>
  <c r="R54" i="4"/>
  <c r="Q54" i="4"/>
  <c r="S54" i="4" s="1"/>
  <c r="R53" i="4"/>
  <c r="Q53" i="4"/>
  <c r="R52" i="4"/>
  <c r="Q52" i="4"/>
  <c r="R51" i="4"/>
  <c r="Q51" i="4"/>
  <c r="S51" i="4" s="1"/>
  <c r="S50" i="4"/>
  <c r="R50" i="4"/>
  <c r="Q50" i="4"/>
  <c r="R49" i="4"/>
  <c r="S49" i="4" s="1"/>
  <c r="Q49" i="4"/>
  <c r="R48" i="4"/>
  <c r="Q48" i="4"/>
  <c r="S48" i="4" s="1"/>
  <c r="S47" i="4"/>
  <c r="R47" i="4"/>
  <c r="Q47" i="4"/>
  <c r="T46" i="4"/>
  <c r="S46" i="4"/>
  <c r="R46" i="4"/>
  <c r="Q46" i="4"/>
  <c r="S45" i="4"/>
  <c r="R45" i="4"/>
  <c r="Q45" i="4"/>
  <c r="S44" i="4"/>
  <c r="R44" i="4"/>
  <c r="Q44" i="4"/>
  <c r="S43" i="4"/>
  <c r="R43" i="4"/>
  <c r="Q43" i="4"/>
  <c r="S42" i="4"/>
  <c r="R42" i="4"/>
  <c r="Q42" i="4"/>
  <c r="R41" i="4"/>
  <c r="Q41" i="4"/>
  <c r="S41" i="4" s="1"/>
  <c r="S40" i="4"/>
  <c r="R40" i="4"/>
  <c r="Q40" i="4"/>
  <c r="S39" i="4"/>
  <c r="R39" i="4"/>
  <c r="Q39" i="4"/>
  <c r="T38" i="4"/>
  <c r="R38" i="4"/>
  <c r="S38" i="4" s="1"/>
  <c r="Q38" i="4"/>
  <c r="R37" i="4"/>
  <c r="S37" i="4" s="1"/>
  <c r="Q37" i="4"/>
  <c r="R36" i="4"/>
  <c r="Q36" i="4"/>
  <c r="S36" i="4" s="1"/>
  <c r="R35" i="4"/>
  <c r="Q35" i="4"/>
  <c r="S35" i="4" s="1"/>
  <c r="S34" i="4"/>
  <c r="R34" i="4"/>
  <c r="Q34" i="4"/>
  <c r="S33" i="4"/>
  <c r="R33" i="4"/>
  <c r="Q33" i="4"/>
  <c r="S32" i="4"/>
  <c r="R32" i="4"/>
  <c r="Q32" i="4"/>
  <c r="T31" i="4"/>
  <c r="R31" i="4"/>
  <c r="S31" i="4" s="1"/>
  <c r="Q31" i="4"/>
  <c r="S30" i="4"/>
  <c r="R30" i="4"/>
  <c r="Q30" i="4"/>
  <c r="R29" i="4"/>
  <c r="S29" i="4" s="1"/>
  <c r="Q29" i="4"/>
  <c r="R28" i="4"/>
  <c r="S28" i="4" s="1"/>
  <c r="Q28" i="4"/>
  <c r="S27" i="4"/>
  <c r="R27" i="4"/>
  <c r="Q27" i="4"/>
  <c r="R26" i="4"/>
  <c r="S26" i="4" s="1"/>
  <c r="Q26" i="4"/>
  <c r="R25" i="4"/>
  <c r="S25" i="4" s="1"/>
  <c r="Q25" i="4"/>
  <c r="R24" i="4"/>
  <c r="S24" i="4" s="1"/>
  <c r="Q24" i="4"/>
  <c r="R23" i="4"/>
  <c r="Q23" i="4"/>
  <c r="S23" i="4" s="1"/>
  <c r="S22" i="4"/>
  <c r="R22" i="4"/>
  <c r="Q22" i="4"/>
  <c r="R21" i="4"/>
  <c r="S21" i="4" s="1"/>
  <c r="Q21" i="4"/>
  <c r="R20" i="4"/>
  <c r="S20" i="4" s="1"/>
  <c r="Q20" i="4"/>
  <c r="S19" i="4"/>
  <c r="R19" i="4"/>
  <c r="Q19" i="4"/>
  <c r="S18" i="4"/>
  <c r="R18" i="4"/>
  <c r="Q18" i="4"/>
  <c r="R17" i="4"/>
  <c r="Q17" i="4"/>
  <c r="S16" i="4"/>
  <c r="R16" i="4"/>
  <c r="Q16" i="4"/>
  <c r="S15" i="4"/>
  <c r="R15" i="4"/>
  <c r="Q15" i="4"/>
  <c r="R14" i="4"/>
  <c r="S14" i="4" s="1"/>
  <c r="Q14" i="4"/>
  <c r="R13" i="4"/>
  <c r="S13" i="4" s="1"/>
  <c r="Q13" i="4"/>
  <c r="R12" i="4"/>
  <c r="S12" i="4" s="1"/>
  <c r="Q12" i="4"/>
  <c r="S11" i="4"/>
  <c r="R11" i="4"/>
  <c r="Q11" i="4"/>
  <c r="T10" i="4"/>
  <c r="T45" i="4" s="1"/>
  <c r="T27" i="4" l="1"/>
  <c r="T34" i="4"/>
  <c r="T22" i="4"/>
  <c r="T30" i="4"/>
  <c r="T76" i="4"/>
  <c r="S17" i="4"/>
  <c r="T41" i="4"/>
  <c r="T65" i="4"/>
  <c r="T20" i="4"/>
  <c r="T21" i="4"/>
  <c r="T12" i="4"/>
  <c r="T15" i="4"/>
  <c r="T16" i="4"/>
  <c r="T17" i="4"/>
  <c r="T18" i="4"/>
  <c r="T19" i="4"/>
  <c r="T160" i="4"/>
  <c r="T152" i="4"/>
  <c r="T144" i="4"/>
  <c r="T136" i="4"/>
  <c r="T128" i="4"/>
  <c r="T120" i="4"/>
  <c r="T111" i="4"/>
  <c r="T101" i="4"/>
  <c r="T166" i="4"/>
  <c r="T151" i="4"/>
  <c r="T143" i="4"/>
  <c r="T161" i="4"/>
  <c r="T133" i="4"/>
  <c r="T132" i="4"/>
  <c r="T122" i="4"/>
  <c r="T93" i="4"/>
  <c r="T153" i="4"/>
  <c r="T121" i="4"/>
  <c r="T109" i="4"/>
  <c r="T100" i="4"/>
  <c r="T84" i="4"/>
  <c r="T163" i="4"/>
  <c r="T155" i="4"/>
  <c r="T89" i="4"/>
  <c r="T137" i="4"/>
  <c r="T119" i="4"/>
  <c r="T164" i="4"/>
  <c r="T139" i="4"/>
  <c r="T138" i="4"/>
  <c r="T118" i="4"/>
  <c r="T108" i="4"/>
  <c r="T92" i="4"/>
  <c r="T165" i="4"/>
  <c r="T156" i="4"/>
  <c r="T149" i="4"/>
  <c r="T148" i="4"/>
  <c r="T129" i="4"/>
  <c r="T162" i="4"/>
  <c r="T145" i="4"/>
  <c r="T124" i="4"/>
  <c r="T114" i="4"/>
  <c r="T95" i="4"/>
  <c r="T83" i="4"/>
  <c r="T70" i="4"/>
  <c r="T150" i="4"/>
  <c r="T141" i="4"/>
  <c r="T115" i="4"/>
  <c r="T99" i="4"/>
  <c r="T98" i="4"/>
  <c r="T97" i="4"/>
  <c r="T96" i="4"/>
  <c r="T94" i="4"/>
  <c r="T91" i="4"/>
  <c r="T158" i="4"/>
  <c r="T116" i="4"/>
  <c r="T103" i="4"/>
  <c r="T102" i="4"/>
  <c r="T88" i="4"/>
  <c r="T82" i="4"/>
  <c r="T72" i="4"/>
  <c r="T64" i="4"/>
  <c r="T62" i="4"/>
  <c r="T60" i="4"/>
  <c r="T58" i="4"/>
  <c r="T56" i="4"/>
  <c r="T106" i="4"/>
  <c r="T74" i="4"/>
  <c r="T59" i="4"/>
  <c r="T159" i="4"/>
  <c r="T66" i="4"/>
  <c r="T140" i="4"/>
  <c r="T127" i="4"/>
  <c r="T55" i="4"/>
  <c r="T154" i="4"/>
  <c r="T147" i="4"/>
  <c r="T48" i="4"/>
  <c r="T130" i="4"/>
  <c r="T157" i="4"/>
  <c r="T81" i="4"/>
  <c r="T69" i="4"/>
  <c r="T68" i="4"/>
  <c r="T110" i="4"/>
  <c r="T105" i="4"/>
  <c r="T142" i="4"/>
  <c r="T135" i="4"/>
  <c r="T113" i="4"/>
  <c r="T90" i="4"/>
  <c r="T86" i="4"/>
  <c r="T61" i="4"/>
  <c r="T126" i="4"/>
  <c r="T71" i="4"/>
  <c r="T123" i="4"/>
  <c r="T87" i="4"/>
  <c r="T42" i="4"/>
  <c r="T37" i="4"/>
  <c r="T33" i="4"/>
  <c r="T125" i="4"/>
  <c r="T79" i="4"/>
  <c r="T67" i="4"/>
  <c r="T40" i="4"/>
  <c r="T36" i="4"/>
  <c r="T28" i="4"/>
  <c r="T26" i="4"/>
  <c r="T24" i="4"/>
  <c r="T85" i="4"/>
  <c r="T73" i="4"/>
  <c r="T54" i="4"/>
  <c r="T52" i="4"/>
  <c r="T51" i="4"/>
  <c r="T50" i="4"/>
  <c r="T146" i="4"/>
  <c r="T53" i="4"/>
  <c r="T77" i="4"/>
  <c r="T49" i="4"/>
  <c r="T47" i="4"/>
  <c r="T39" i="4"/>
  <c r="T35" i="4"/>
  <c r="T32" i="4"/>
  <c r="T80" i="4"/>
  <c r="T63" i="4"/>
  <c r="T134" i="4"/>
  <c r="T131" i="4"/>
  <c r="T112" i="4"/>
  <c r="T107" i="4"/>
  <c r="T104" i="4"/>
  <c r="T43" i="4"/>
  <c r="T78" i="4"/>
  <c r="T29" i="4"/>
  <c r="T44" i="4"/>
  <c r="T14" i="4"/>
  <c r="T11" i="4"/>
  <c r="T57" i="4"/>
  <c r="T13" i="4"/>
  <c r="U10" i="4"/>
  <c r="T25" i="4"/>
  <c r="S99" i="4"/>
  <c r="T23" i="4"/>
  <c r="S55" i="4"/>
  <c r="S104" i="4"/>
  <c r="S52" i="4"/>
  <c r="S85" i="4"/>
  <c r="S148" i="4"/>
  <c r="S144" i="4"/>
  <c r="S53" i="4"/>
  <c r="S116" i="4"/>
  <c r="S96" i="4"/>
  <c r="S156" i="4"/>
  <c r="S158" i="4"/>
  <c r="S136" i="4"/>
  <c r="S100" i="4"/>
  <c r="S126" i="4"/>
  <c r="S150" i="4"/>
  <c r="S130" i="4"/>
  <c r="S160" i="4"/>
  <c r="U163" i="4" l="1"/>
  <c r="U155" i="4"/>
  <c r="U147" i="4"/>
  <c r="U139" i="4"/>
  <c r="U131" i="4"/>
  <c r="U165" i="4"/>
  <c r="U157" i="4"/>
  <c r="U161" i="4"/>
  <c r="U153" i="4"/>
  <c r="U145" i="4"/>
  <c r="U137" i="4"/>
  <c r="U129" i="4"/>
  <c r="U121" i="4"/>
  <c r="U113" i="4"/>
  <c r="U105" i="4"/>
  <c r="U130" i="4"/>
  <c r="U123" i="4"/>
  <c r="U104" i="4"/>
  <c r="U95" i="4"/>
  <c r="U164" i="4"/>
  <c r="U118" i="4"/>
  <c r="U162" i="4"/>
  <c r="U150" i="4"/>
  <c r="U152" i="4"/>
  <c r="U109" i="4"/>
  <c r="U100" i="4"/>
  <c r="U84" i="4"/>
  <c r="U76" i="4"/>
  <c r="U154" i="4"/>
  <c r="U135" i="4"/>
  <c r="U134" i="4"/>
  <c r="U96" i="4"/>
  <c r="U136" i="4"/>
  <c r="U119" i="4"/>
  <c r="U99" i="4"/>
  <c r="U138" i="4"/>
  <c r="U156" i="4"/>
  <c r="U117" i="4"/>
  <c r="U112" i="4"/>
  <c r="U103" i="4"/>
  <c r="U141" i="4"/>
  <c r="U140" i="4"/>
  <c r="U128" i="4"/>
  <c r="U127" i="4"/>
  <c r="U125" i="4"/>
  <c r="U133" i="4"/>
  <c r="U115" i="4"/>
  <c r="U98" i="4"/>
  <c r="U97" i="4"/>
  <c r="U94" i="4"/>
  <c r="U92" i="4"/>
  <c r="U91" i="4"/>
  <c r="U143" i="4"/>
  <c r="U120" i="4"/>
  <c r="U93" i="4"/>
  <c r="U90" i="4"/>
  <c r="U89" i="4"/>
  <c r="U75" i="4"/>
  <c r="U67" i="4"/>
  <c r="U148" i="4"/>
  <c r="U149" i="4"/>
  <c r="U102" i="4"/>
  <c r="U62" i="4"/>
  <c r="U53" i="4"/>
  <c r="U48" i="4"/>
  <c r="U124" i="4"/>
  <c r="U111" i="4"/>
  <c r="U107" i="4"/>
  <c r="U73" i="4"/>
  <c r="U65" i="4"/>
  <c r="U58" i="4"/>
  <c r="U146" i="4"/>
  <c r="U142" i="4"/>
  <c r="U116" i="4"/>
  <c r="U159" i="4"/>
  <c r="U59" i="4"/>
  <c r="U44" i="4"/>
  <c r="U144" i="4"/>
  <c r="U132" i="4"/>
  <c r="U110" i="4"/>
  <c r="U45" i="4"/>
  <c r="U42" i="4"/>
  <c r="U122" i="4"/>
  <c r="U126" i="4"/>
  <c r="U108" i="4"/>
  <c r="U71" i="4"/>
  <c r="U70" i="4"/>
  <c r="U82" i="4"/>
  <c r="U72" i="4"/>
  <c r="U60" i="4"/>
  <c r="U52" i="4"/>
  <c r="U36" i="4"/>
  <c r="U114" i="4"/>
  <c r="U101" i="4"/>
  <c r="U166" i="4"/>
  <c r="U158" i="4"/>
  <c r="U79" i="4"/>
  <c r="U151" i="4"/>
  <c r="U30" i="4"/>
  <c r="U85" i="4"/>
  <c r="U54" i="4"/>
  <c r="U51" i="4"/>
  <c r="U50" i="4"/>
  <c r="U68" i="4"/>
  <c r="U61" i="4"/>
  <c r="U83" i="4"/>
  <c r="U77" i="4"/>
  <c r="U55" i="4"/>
  <c r="U49" i="4"/>
  <c r="U47" i="4"/>
  <c r="U39" i="4"/>
  <c r="U35" i="4"/>
  <c r="U32" i="4"/>
  <c r="U80" i="4"/>
  <c r="U69" i="4"/>
  <c r="U63" i="4"/>
  <c r="U46" i="4"/>
  <c r="U88" i="4"/>
  <c r="U64" i="4"/>
  <c r="U86" i="4"/>
  <c r="U74" i="4"/>
  <c r="U56" i="4"/>
  <c r="U106" i="4"/>
  <c r="U21" i="4"/>
  <c r="U81" i="4"/>
  <c r="U29" i="4"/>
  <c r="U43" i="4"/>
  <c r="U38" i="4"/>
  <c r="U23" i="4"/>
  <c r="U20" i="4"/>
  <c r="U17" i="4"/>
  <c r="U27" i="4"/>
  <c r="U87" i="4"/>
  <c r="U66" i="4"/>
  <c r="U160" i="4"/>
  <c r="U22" i="4"/>
  <c r="U37" i="4"/>
  <c r="U31" i="4"/>
  <c r="U40" i="4"/>
  <c r="U78" i="4"/>
  <c r="U28" i="4"/>
  <c r="U25" i="4"/>
  <c r="V10" i="4"/>
  <c r="U13" i="4"/>
  <c r="U11" i="4"/>
  <c r="U19" i="4"/>
  <c r="U18" i="4"/>
  <c r="U16" i="4"/>
  <c r="U15" i="4"/>
  <c r="U14" i="4"/>
  <c r="U12" i="4"/>
  <c r="U33" i="4"/>
  <c r="U57" i="4"/>
  <c r="U41" i="4"/>
  <c r="U26" i="4"/>
  <c r="U34" i="4"/>
  <c r="U24" i="4"/>
  <c r="V165" i="4" l="1"/>
  <c r="V157" i="4"/>
  <c r="V149" i="4"/>
  <c r="V141" i="4"/>
  <c r="V133" i="4"/>
  <c r="V125" i="4"/>
  <c r="V117" i="4"/>
  <c r="V166" i="4"/>
  <c r="V151" i="4"/>
  <c r="V144" i="4"/>
  <c r="V137" i="4"/>
  <c r="V114" i="4"/>
  <c r="V163" i="4"/>
  <c r="V143" i="4"/>
  <c r="V136" i="4"/>
  <c r="V129" i="4"/>
  <c r="V135" i="4"/>
  <c r="V154" i="4"/>
  <c r="V153" i="4"/>
  <c r="V134" i="4"/>
  <c r="V121" i="4"/>
  <c r="V96" i="4"/>
  <c r="V162" i="4"/>
  <c r="V120" i="4"/>
  <c r="V113" i="4"/>
  <c r="V104" i="4"/>
  <c r="V89" i="4"/>
  <c r="V81" i="4"/>
  <c r="V138" i="4"/>
  <c r="V108" i="4"/>
  <c r="V92" i="4"/>
  <c r="V86" i="4"/>
  <c r="V164" i="4"/>
  <c r="V156" i="4"/>
  <c r="V139" i="4"/>
  <c r="V118" i="4"/>
  <c r="V140" i="4"/>
  <c r="V95" i="4"/>
  <c r="V160" i="4"/>
  <c r="V131" i="4"/>
  <c r="V130" i="4"/>
  <c r="V126" i="4"/>
  <c r="V124" i="4"/>
  <c r="V150" i="4"/>
  <c r="V99" i="4"/>
  <c r="V93" i="4"/>
  <c r="V90" i="4"/>
  <c r="V75" i="4"/>
  <c r="V67" i="4"/>
  <c r="V128" i="4"/>
  <c r="V78" i="4"/>
  <c r="V146" i="4"/>
  <c r="V69" i="4"/>
  <c r="V159" i="4"/>
  <c r="V115" i="4"/>
  <c r="V97" i="4"/>
  <c r="V91" i="4"/>
  <c r="V66" i="4"/>
  <c r="V43" i="4"/>
  <c r="V161" i="4"/>
  <c r="V55" i="4"/>
  <c r="V50" i="4"/>
  <c r="V142" i="4"/>
  <c r="V116" i="4"/>
  <c r="V72" i="4"/>
  <c r="V61" i="4"/>
  <c r="V122" i="4"/>
  <c r="V112" i="4"/>
  <c r="V111" i="4"/>
  <c r="V132" i="4"/>
  <c r="V87" i="4"/>
  <c r="V76" i="4"/>
  <c r="V41" i="4"/>
  <c r="V38" i="4"/>
  <c r="V106" i="4"/>
  <c r="V110" i="4"/>
  <c r="V105" i="4"/>
  <c r="V100" i="4"/>
  <c r="V62" i="4"/>
  <c r="V53" i="4"/>
  <c r="V49" i="4"/>
  <c r="V145" i="4"/>
  <c r="V152" i="4"/>
  <c r="V103" i="4"/>
  <c r="V94" i="4"/>
  <c r="V82" i="4"/>
  <c r="V60" i="4"/>
  <c r="V52" i="4"/>
  <c r="V147" i="4"/>
  <c r="V74" i="4"/>
  <c r="V73" i="4"/>
  <c r="V123" i="4"/>
  <c r="V158" i="4"/>
  <c r="V148" i="4"/>
  <c r="V59" i="4"/>
  <c r="V155" i="4"/>
  <c r="V98" i="4"/>
  <c r="V85" i="4"/>
  <c r="V54" i="4"/>
  <c r="V51" i="4"/>
  <c r="V119" i="4"/>
  <c r="V68" i="4"/>
  <c r="V83" i="4"/>
  <c r="V77" i="4"/>
  <c r="V47" i="4"/>
  <c r="V80" i="4"/>
  <c r="V63" i="4"/>
  <c r="V48" i="4"/>
  <c r="V46" i="4"/>
  <c r="V88" i="4"/>
  <c r="V64" i="4"/>
  <c r="V107" i="4"/>
  <c r="V102" i="4"/>
  <c r="V127" i="4"/>
  <c r="V109" i="4"/>
  <c r="V101" i="4"/>
  <c r="V71" i="4"/>
  <c r="V37" i="4"/>
  <c r="V33" i="4"/>
  <c r="V42" i="4"/>
  <c r="V18" i="4"/>
  <c r="V15" i="4"/>
  <c r="V34" i="4"/>
  <c r="V31" i="4"/>
  <c r="V35" i="4"/>
  <c r="V36" i="4"/>
  <c r="V23" i="4"/>
  <c r="V20" i="4"/>
  <c r="V17" i="4"/>
  <c r="V84" i="4"/>
  <c r="V28" i="4"/>
  <c r="V14" i="4"/>
  <c r="V11" i="4"/>
  <c r="V40" i="4"/>
  <c r="V39" i="4"/>
  <c r="V57" i="4"/>
  <c r="V26" i="4"/>
  <c r="V79" i="4"/>
  <c r="V56" i="4"/>
  <c r="V44" i="4"/>
  <c r="W10" i="4"/>
  <c r="V24" i="4"/>
  <c r="V32" i="4"/>
  <c r="V58" i="4"/>
  <c r="V13" i="4"/>
  <c r="V25" i="4"/>
  <c r="V70" i="4"/>
  <c r="V19" i="4"/>
  <c r="V16" i="4"/>
  <c r="V12" i="4"/>
  <c r="V45" i="4"/>
  <c r="V29" i="4"/>
  <c r="V21" i="4"/>
  <c r="V27" i="4"/>
  <c r="V30" i="4"/>
  <c r="V22" i="4"/>
  <c r="V65" i="4"/>
  <c r="W160" i="4" l="1"/>
  <c r="W152" i="4"/>
  <c r="W144" i="4"/>
  <c r="W136" i="4"/>
  <c r="W128" i="4"/>
  <c r="W162" i="4"/>
  <c r="W154" i="4"/>
  <c r="W166" i="4"/>
  <c r="W158" i="4"/>
  <c r="W150" i="4"/>
  <c r="W142" i="4"/>
  <c r="W134" i="4"/>
  <c r="W126" i="4"/>
  <c r="W118" i="4"/>
  <c r="W110" i="4"/>
  <c r="W102" i="4"/>
  <c r="W165" i="4"/>
  <c r="W164" i="4"/>
  <c r="W107" i="4"/>
  <c r="W92" i="4"/>
  <c r="W122" i="4"/>
  <c r="W161" i="4"/>
  <c r="W149" i="4"/>
  <c r="W135" i="4"/>
  <c r="W120" i="4"/>
  <c r="W113" i="4"/>
  <c r="W104" i="4"/>
  <c r="W89" i="4"/>
  <c r="W81" i="4"/>
  <c r="W155" i="4"/>
  <c r="W119" i="4"/>
  <c r="W99" i="4"/>
  <c r="W156" i="4"/>
  <c r="W139" i="4"/>
  <c r="W137" i="4"/>
  <c r="W112" i="4"/>
  <c r="W103" i="4"/>
  <c r="W140" i="4"/>
  <c r="W117" i="4"/>
  <c r="W141" i="4"/>
  <c r="W157" i="4"/>
  <c r="W132" i="4"/>
  <c r="W123" i="4"/>
  <c r="W143" i="4"/>
  <c r="W96" i="4"/>
  <c r="W78" i="4"/>
  <c r="W153" i="4"/>
  <c r="W116" i="4"/>
  <c r="W101" i="4"/>
  <c r="W100" i="4"/>
  <c r="W88" i="4"/>
  <c r="W82" i="4"/>
  <c r="W72" i="4"/>
  <c r="W64" i="4"/>
  <c r="W163" i="4"/>
  <c r="W87" i="4"/>
  <c r="W111" i="4"/>
  <c r="W73" i="4"/>
  <c r="W127" i="4"/>
  <c r="W98" i="4"/>
  <c r="W65" i="4"/>
  <c r="W58" i="4"/>
  <c r="W45" i="4"/>
  <c r="W146" i="4"/>
  <c r="W125" i="4"/>
  <c r="W159" i="4"/>
  <c r="W130" i="4"/>
  <c r="W106" i="4"/>
  <c r="W83" i="4"/>
  <c r="W77" i="4"/>
  <c r="W105" i="4"/>
  <c r="W145" i="4"/>
  <c r="W133" i="4"/>
  <c r="W97" i="4"/>
  <c r="W86" i="4"/>
  <c r="W71" i="4"/>
  <c r="W70" i="4"/>
  <c r="W61" i="4"/>
  <c r="W108" i="4"/>
  <c r="W147" i="4"/>
  <c r="W124" i="4"/>
  <c r="W74" i="4"/>
  <c r="W75" i="4"/>
  <c r="W59" i="4"/>
  <c r="W48" i="4"/>
  <c r="W44" i="4"/>
  <c r="W148" i="4"/>
  <c r="W79" i="4"/>
  <c r="W76" i="4"/>
  <c r="W41" i="4"/>
  <c r="W40" i="4"/>
  <c r="W28" i="4"/>
  <c r="W151" i="4"/>
  <c r="W129" i="4"/>
  <c r="W85" i="4"/>
  <c r="W67" i="4"/>
  <c r="W60" i="4"/>
  <c r="W68" i="4"/>
  <c r="W50" i="4"/>
  <c r="W94" i="4"/>
  <c r="W52" i="4"/>
  <c r="W47" i="4"/>
  <c r="W80" i="4"/>
  <c r="W63" i="4"/>
  <c r="W55" i="4"/>
  <c r="W53" i="4"/>
  <c r="W49" i="4"/>
  <c r="W46" i="4"/>
  <c r="W90" i="4"/>
  <c r="W69" i="4"/>
  <c r="W62" i="4"/>
  <c r="W56" i="4"/>
  <c r="W138" i="4"/>
  <c r="W131" i="4"/>
  <c r="W121" i="4"/>
  <c r="W115" i="4"/>
  <c r="W57" i="4"/>
  <c r="W114" i="4"/>
  <c r="W66" i="4"/>
  <c r="W42" i="4"/>
  <c r="W34" i="4"/>
  <c r="W31" i="4"/>
  <c r="W12" i="4"/>
  <c r="W93" i="4"/>
  <c r="W51" i="4"/>
  <c r="W33" i="4"/>
  <c r="W32" i="4"/>
  <c r="W30" i="4"/>
  <c r="W24" i="4"/>
  <c r="W43" i="4"/>
  <c r="W36" i="4"/>
  <c r="W23" i="4"/>
  <c r="W20" i="4"/>
  <c r="W17" i="4"/>
  <c r="W84" i="4"/>
  <c r="W38" i="4"/>
  <c r="W14" i="4"/>
  <c r="W11" i="4"/>
  <c r="W91" i="4"/>
  <c r="W37" i="4"/>
  <c r="W27" i="4"/>
  <c r="W35" i="4"/>
  <c r="W19" i="4"/>
  <c r="W16" i="4"/>
  <c r="W29" i="4"/>
  <c r="W18" i="4"/>
  <c r="W15" i="4"/>
  <c r="W109" i="4"/>
  <c r="W21" i="4"/>
  <c r="X10" i="4"/>
  <c r="W26" i="4"/>
  <c r="W22" i="4"/>
  <c r="W25" i="4"/>
  <c r="W13" i="4"/>
  <c r="W95" i="4"/>
  <c r="W54" i="4"/>
  <c r="W39" i="4"/>
  <c r="X162" i="4" l="1"/>
  <c r="X154" i="4"/>
  <c r="X146" i="4"/>
  <c r="X138" i="4"/>
  <c r="X130" i="4"/>
  <c r="X122" i="4"/>
  <c r="X163" i="4"/>
  <c r="X143" i="4"/>
  <c r="X129" i="4"/>
  <c r="X118" i="4"/>
  <c r="X150" i="4"/>
  <c r="X135" i="4"/>
  <c r="X159" i="4"/>
  <c r="X142" i="4"/>
  <c r="X155" i="4"/>
  <c r="X119" i="4"/>
  <c r="X99" i="4"/>
  <c r="X108" i="4"/>
  <c r="X86" i="4"/>
  <c r="X164" i="4"/>
  <c r="X140" i="4"/>
  <c r="X117" i="4"/>
  <c r="X95" i="4"/>
  <c r="X141" i="4"/>
  <c r="X165" i="4"/>
  <c r="X157" i="4"/>
  <c r="X116" i="4"/>
  <c r="X107" i="4"/>
  <c r="X98" i="4"/>
  <c r="X151" i="4"/>
  <c r="X133" i="4"/>
  <c r="X153" i="4"/>
  <c r="X136" i="4"/>
  <c r="X128" i="4"/>
  <c r="X120" i="4"/>
  <c r="X101" i="4"/>
  <c r="X100" i="4"/>
  <c r="X89" i="4"/>
  <c r="X88" i="4"/>
  <c r="X82" i="4"/>
  <c r="X72" i="4"/>
  <c r="X64" i="4"/>
  <c r="X62" i="4"/>
  <c r="X60" i="4"/>
  <c r="X58" i="4"/>
  <c r="X56" i="4"/>
  <c r="X54" i="4"/>
  <c r="X52" i="4"/>
  <c r="X50" i="4"/>
  <c r="X48" i="4"/>
  <c r="X46" i="4"/>
  <c r="X44" i="4"/>
  <c r="X42" i="4"/>
  <c r="X40" i="4"/>
  <c r="X38" i="4"/>
  <c r="X36" i="4"/>
  <c r="X34" i="4"/>
  <c r="X158" i="4"/>
  <c r="X148" i="4"/>
  <c r="X131" i="4"/>
  <c r="X125" i="4"/>
  <c r="X102" i="4"/>
  <c r="X106" i="4"/>
  <c r="X105" i="4"/>
  <c r="X104" i="4"/>
  <c r="X77" i="4"/>
  <c r="X74" i="4"/>
  <c r="X66" i="4"/>
  <c r="X124" i="4"/>
  <c r="X55" i="4"/>
  <c r="X103" i="4"/>
  <c r="X61" i="4"/>
  <c r="X112" i="4"/>
  <c r="X80" i="4"/>
  <c r="X71" i="4"/>
  <c r="X134" i="4"/>
  <c r="X156" i="4"/>
  <c r="X132" i="4"/>
  <c r="X144" i="4"/>
  <c r="X57" i="4"/>
  <c r="X51" i="4"/>
  <c r="X47" i="4"/>
  <c r="X33" i="4"/>
  <c r="X31" i="4"/>
  <c r="X145" i="4"/>
  <c r="X97" i="4"/>
  <c r="X94" i="4"/>
  <c r="X90" i="4"/>
  <c r="X152" i="4"/>
  <c r="X147" i="4"/>
  <c r="X137" i="4"/>
  <c r="X126" i="4"/>
  <c r="X113" i="4"/>
  <c r="X75" i="4"/>
  <c r="X73" i="4"/>
  <c r="X59" i="4"/>
  <c r="X139" i="4"/>
  <c r="X111" i="4"/>
  <c r="X91" i="4"/>
  <c r="X76" i="4"/>
  <c r="X41" i="4"/>
  <c r="X166" i="4"/>
  <c r="X30" i="4"/>
  <c r="X68" i="4"/>
  <c r="X92" i="4"/>
  <c r="X39" i="4"/>
  <c r="X35" i="4"/>
  <c r="X32" i="4"/>
  <c r="X83" i="4"/>
  <c r="X63" i="4"/>
  <c r="X53" i="4"/>
  <c r="X49" i="4"/>
  <c r="X161" i="4"/>
  <c r="X69" i="4"/>
  <c r="X121" i="4"/>
  <c r="X96" i="4"/>
  <c r="X45" i="4"/>
  <c r="X29" i="4"/>
  <c r="X27" i="4"/>
  <c r="X25" i="4"/>
  <c r="X23" i="4"/>
  <c r="X21" i="4"/>
  <c r="X19" i="4"/>
  <c r="X17" i="4"/>
  <c r="X15" i="4"/>
  <c r="X13" i="4"/>
  <c r="X11" i="4"/>
  <c r="X115" i="4"/>
  <c r="X110" i="4"/>
  <c r="X127" i="4"/>
  <c r="X160" i="4"/>
  <c r="X81" i="4"/>
  <c r="X70" i="4"/>
  <c r="X65" i="4"/>
  <c r="X123" i="4"/>
  <c r="X87" i="4"/>
  <c r="X93" i="4"/>
  <c r="X24" i="4"/>
  <c r="X85" i="4"/>
  <c r="X114" i="4"/>
  <c r="X84" i="4"/>
  <c r="X14" i="4"/>
  <c r="X37" i="4"/>
  <c r="X28" i="4"/>
  <c r="X149" i="4"/>
  <c r="X22" i="4"/>
  <c r="X78" i="4"/>
  <c r="X67" i="4"/>
  <c r="X18" i="4"/>
  <c r="X12" i="4"/>
  <c r="X109" i="4"/>
  <c r="X26" i="4"/>
  <c r="X43" i="4"/>
  <c r="X20" i="4"/>
  <c r="Y10" i="4"/>
  <c r="X16" i="4"/>
  <c r="X79" i="4"/>
  <c r="Y165" i="4" l="1"/>
  <c r="Y157" i="4"/>
  <c r="Y149" i="4"/>
  <c r="Y141" i="4"/>
  <c r="Y133" i="4"/>
  <c r="Y125" i="4"/>
  <c r="Y159" i="4"/>
  <c r="Y163" i="4"/>
  <c r="Y155" i="4"/>
  <c r="Y147" i="4"/>
  <c r="Y139" i="4"/>
  <c r="Y131" i="4"/>
  <c r="Y123" i="4"/>
  <c r="Y115" i="4"/>
  <c r="Y107" i="4"/>
  <c r="Y99" i="4"/>
  <c r="Y136" i="4"/>
  <c r="Y100" i="4"/>
  <c r="Y97" i="4"/>
  <c r="Y89" i="4"/>
  <c r="Y162" i="4"/>
  <c r="Y161" i="4"/>
  <c r="Y128" i="4"/>
  <c r="Y117" i="4"/>
  <c r="Y160" i="4"/>
  <c r="Y148" i="4"/>
  <c r="Y108" i="4"/>
  <c r="Y86" i="4"/>
  <c r="Y78" i="4"/>
  <c r="Y156" i="4"/>
  <c r="Y138" i="4"/>
  <c r="Y137" i="4"/>
  <c r="Y112" i="4"/>
  <c r="Y103" i="4"/>
  <c r="Y92" i="4"/>
  <c r="Y118" i="4"/>
  <c r="Y116" i="4"/>
  <c r="Y111" i="4"/>
  <c r="Y91" i="4"/>
  <c r="Y166" i="4"/>
  <c r="Y142" i="4"/>
  <c r="Y153" i="4"/>
  <c r="Y152" i="4"/>
  <c r="Y150" i="4"/>
  <c r="Y122" i="4"/>
  <c r="Y121" i="4"/>
  <c r="Y158" i="4"/>
  <c r="Y102" i="4"/>
  <c r="Y69" i="4"/>
  <c r="Y151" i="4"/>
  <c r="Y134" i="4"/>
  <c r="Y81" i="4"/>
  <c r="Y129" i="4"/>
  <c r="Y127" i="4"/>
  <c r="Y65" i="4"/>
  <c r="Y50" i="4"/>
  <c r="Y45" i="4"/>
  <c r="Y154" i="4"/>
  <c r="Y93" i="4"/>
  <c r="Y83" i="4"/>
  <c r="Y79" i="4"/>
  <c r="Y144" i="4"/>
  <c r="Y132" i="4"/>
  <c r="Y130" i="4"/>
  <c r="Y120" i="4"/>
  <c r="Y58" i="4"/>
  <c r="Y114" i="4"/>
  <c r="Y101" i="4"/>
  <c r="Y94" i="4"/>
  <c r="Y90" i="4"/>
  <c r="Y126" i="4"/>
  <c r="Y113" i="4"/>
  <c r="Y60" i="4"/>
  <c r="Y52" i="4"/>
  <c r="Y135" i="4"/>
  <c r="Y124" i="4"/>
  <c r="Y164" i="4"/>
  <c r="Y76" i="4"/>
  <c r="Y72" i="4"/>
  <c r="Y98" i="4"/>
  <c r="Y87" i="4"/>
  <c r="Y38" i="4"/>
  <c r="Y140" i="4"/>
  <c r="Y85" i="4"/>
  <c r="Y67" i="4"/>
  <c r="Y36" i="4"/>
  <c r="Y119" i="4"/>
  <c r="Y63" i="4"/>
  <c r="Y53" i="4"/>
  <c r="Y49" i="4"/>
  <c r="Y47" i="4"/>
  <c r="Y143" i="4"/>
  <c r="Y80" i="4"/>
  <c r="Y77" i="4"/>
  <c r="Y73" i="4"/>
  <c r="Y61" i="4"/>
  <c r="Y55" i="4"/>
  <c r="Y46" i="4"/>
  <c r="Y146" i="4"/>
  <c r="Y105" i="4"/>
  <c r="Y62" i="4"/>
  <c r="Y48" i="4"/>
  <c r="Y96" i="4"/>
  <c r="Y88" i="4"/>
  <c r="Y64" i="4"/>
  <c r="Y56" i="4"/>
  <c r="Y29" i="4"/>
  <c r="Y27" i="4"/>
  <c r="Y25" i="4"/>
  <c r="Y23" i="4"/>
  <c r="Y21" i="4"/>
  <c r="Y19" i="4"/>
  <c r="Y17" i="4"/>
  <c r="Y15" i="4"/>
  <c r="Y13" i="4"/>
  <c r="Y11" i="4"/>
  <c r="Y110" i="4"/>
  <c r="Y34" i="4"/>
  <c r="Y74" i="4"/>
  <c r="Y104" i="4"/>
  <c r="Y70" i="4"/>
  <c r="Y84" i="4"/>
  <c r="Y28" i="4"/>
  <c r="Y26" i="4"/>
  <c r="Y82" i="4"/>
  <c r="Y51" i="4"/>
  <c r="Y33" i="4"/>
  <c r="Y32" i="4"/>
  <c r="Y30" i="4"/>
  <c r="Y109" i="4"/>
  <c r="Y54" i="4"/>
  <c r="Y145" i="4"/>
  <c r="Y37" i="4"/>
  <c r="Y44" i="4"/>
  <c r="Y39" i="4"/>
  <c r="Y66" i="4"/>
  <c r="Y57" i="4"/>
  <c r="Y16" i="4"/>
  <c r="Z10" i="4"/>
  <c r="Y95" i="4"/>
  <c r="Y71" i="4"/>
  <c r="Y68" i="4"/>
  <c r="Y41" i="4"/>
  <c r="Y106" i="4"/>
  <c r="Y31" i="4"/>
  <c r="Y75" i="4"/>
  <c r="Y12" i="4"/>
  <c r="Y42" i="4"/>
  <c r="Y35" i="4"/>
  <c r="Y18" i="4"/>
  <c r="Y14" i="4"/>
  <c r="Y43" i="4"/>
  <c r="Y20" i="4"/>
  <c r="Y40" i="4"/>
  <c r="Y22" i="4"/>
  <c r="Y24" i="4"/>
  <c r="Y59" i="4"/>
  <c r="Z159" i="4" l="1"/>
  <c r="Z151" i="4"/>
  <c r="Z143" i="4"/>
  <c r="Z135" i="4"/>
  <c r="Z127" i="4"/>
  <c r="Z119" i="4"/>
  <c r="Z150" i="4"/>
  <c r="Z122" i="4"/>
  <c r="Z110" i="4"/>
  <c r="Z103" i="4"/>
  <c r="Z149" i="4"/>
  <c r="Z142" i="4"/>
  <c r="Z141" i="4"/>
  <c r="Z134" i="4"/>
  <c r="Z162" i="4"/>
  <c r="Z156" i="4"/>
  <c r="Z138" i="4"/>
  <c r="Z137" i="4"/>
  <c r="Z112" i="4"/>
  <c r="Z92" i="4"/>
  <c r="Z164" i="4"/>
  <c r="Z163" i="4"/>
  <c r="Z140" i="4"/>
  <c r="Z139" i="4"/>
  <c r="Z136" i="4"/>
  <c r="Z95" i="4"/>
  <c r="Z83" i="4"/>
  <c r="Z116" i="4"/>
  <c r="Z98" i="4"/>
  <c r="Z88" i="4"/>
  <c r="Z165" i="4"/>
  <c r="Z157" i="4"/>
  <c r="Z166" i="4"/>
  <c r="Z102" i="4"/>
  <c r="Z94" i="4"/>
  <c r="Z158" i="4"/>
  <c r="Z146" i="4"/>
  <c r="Z145" i="4"/>
  <c r="Z161" i="4"/>
  <c r="Z148" i="4"/>
  <c r="Z131" i="4"/>
  <c r="Z125" i="4"/>
  <c r="Z69" i="4"/>
  <c r="Z160" i="4"/>
  <c r="Z121" i="4"/>
  <c r="Z87" i="4"/>
  <c r="Z126" i="4"/>
  <c r="Z71" i="4"/>
  <c r="Z107" i="4"/>
  <c r="Z61" i="4"/>
  <c r="Z58" i="4"/>
  <c r="Z40" i="4"/>
  <c r="Z80" i="4"/>
  <c r="Z72" i="4"/>
  <c r="Z52" i="4"/>
  <c r="Z47" i="4"/>
  <c r="Z144" i="4"/>
  <c r="Z132" i="4"/>
  <c r="Z85" i="4"/>
  <c r="Z84" i="4"/>
  <c r="Z82" i="4"/>
  <c r="Z81" i="4"/>
  <c r="Z64" i="4"/>
  <c r="Z57" i="4"/>
  <c r="Z108" i="4"/>
  <c r="Z104" i="4"/>
  <c r="Z118" i="4"/>
  <c r="Z114" i="4"/>
  <c r="Z101" i="4"/>
  <c r="Z35" i="4"/>
  <c r="Z109" i="4"/>
  <c r="Z133" i="4"/>
  <c r="Z113" i="4"/>
  <c r="Z100" i="4"/>
  <c r="Z152" i="4"/>
  <c r="Z147" i="4"/>
  <c r="Z124" i="4"/>
  <c r="Z75" i="4"/>
  <c r="Z74" i="4"/>
  <c r="Z73" i="4"/>
  <c r="Z59" i="4"/>
  <c r="Z154" i="4"/>
  <c r="Z128" i="4"/>
  <c r="Z111" i="4"/>
  <c r="Z91" i="4"/>
  <c r="Z130" i="4"/>
  <c r="Z120" i="4"/>
  <c r="Z106" i="4"/>
  <c r="Z77" i="4"/>
  <c r="Z51" i="4"/>
  <c r="Z33" i="4"/>
  <c r="Z155" i="4"/>
  <c r="Z68" i="4"/>
  <c r="Z54" i="4"/>
  <c r="Z129" i="4"/>
  <c r="Z63" i="4"/>
  <c r="Z55" i="4"/>
  <c r="Z46" i="4"/>
  <c r="Z105" i="4"/>
  <c r="Z62" i="4"/>
  <c r="Z48" i="4"/>
  <c r="Z96" i="4"/>
  <c r="Z90" i="4"/>
  <c r="Z56" i="4"/>
  <c r="Z45" i="4"/>
  <c r="Z34" i="4"/>
  <c r="Z115" i="4"/>
  <c r="Z86" i="4"/>
  <c r="Z70" i="4"/>
  <c r="Z65" i="4"/>
  <c r="Z153" i="4"/>
  <c r="Z78" i="4"/>
  <c r="Z79" i="4"/>
  <c r="Z41" i="4"/>
  <c r="Z30" i="4"/>
  <c r="Z60" i="4"/>
  <c r="Z89" i="4"/>
  <c r="Z43" i="4"/>
  <c r="Z29" i="4"/>
  <c r="Z38" i="4"/>
  <c r="Z28" i="4"/>
  <c r="Z11" i="4"/>
  <c r="Z44" i="4"/>
  <c r="Z39" i="4"/>
  <c r="Z27" i="4"/>
  <c r="Z49" i="4"/>
  <c r="Z22" i="4"/>
  <c r="Z26" i="4"/>
  <c r="Z19" i="4"/>
  <c r="Z123" i="4"/>
  <c r="Z117" i="4"/>
  <c r="Z50" i="4"/>
  <c r="Z25" i="4"/>
  <c r="Z23" i="4"/>
  <c r="Z99" i="4"/>
  <c r="Z93" i="4"/>
  <c r="Z12" i="4"/>
  <c r="Z53" i="4"/>
  <c r="Z18" i="4"/>
  <c r="Z32" i="4"/>
  <c r="Z16" i="4"/>
  <c r="Z97" i="4"/>
  <c r="Z67" i="4"/>
  <c r="Z15" i="4"/>
  <c r="Z14" i="4"/>
  <c r="Z21" i="4"/>
  <c r="Z20" i="4"/>
  <c r="Z36" i="4"/>
  <c r="Z17" i="4"/>
  <c r="Z24" i="4"/>
  <c r="Z66" i="4"/>
  <c r="Z42" i="4"/>
  <c r="AA10" i="4"/>
  <c r="Z13" i="4"/>
  <c r="Z76" i="4"/>
  <c r="Z37" i="4"/>
  <c r="Z31" i="4"/>
  <c r="AA162" i="4" l="1"/>
  <c r="AA154" i="4"/>
  <c r="AA146" i="4"/>
  <c r="AA138" i="4"/>
  <c r="AA130" i="4"/>
  <c r="AA164" i="4"/>
  <c r="AA156" i="4"/>
  <c r="AA160" i="4"/>
  <c r="AA152" i="4"/>
  <c r="AA144" i="4"/>
  <c r="AA136" i="4"/>
  <c r="AA128" i="4"/>
  <c r="AA120" i="4"/>
  <c r="AA112" i="4"/>
  <c r="AA104" i="4"/>
  <c r="AA161" i="4"/>
  <c r="AA135" i="4"/>
  <c r="AA117" i="4"/>
  <c r="AA113" i="4"/>
  <c r="AA94" i="4"/>
  <c r="AA148" i="4"/>
  <c r="AA127" i="4"/>
  <c r="AA121" i="4"/>
  <c r="AA158" i="4"/>
  <c r="AA140" i="4"/>
  <c r="AA163" i="4"/>
  <c r="AA139" i="4"/>
  <c r="AA103" i="4"/>
  <c r="AA95" i="4"/>
  <c r="AA83" i="4"/>
  <c r="AA118" i="4"/>
  <c r="AA165" i="4"/>
  <c r="AA157" i="4"/>
  <c r="AA141" i="4"/>
  <c r="AA111" i="4"/>
  <c r="AA107" i="4"/>
  <c r="AA91" i="4"/>
  <c r="AA166" i="4"/>
  <c r="AA145" i="4"/>
  <c r="AA142" i="4"/>
  <c r="AA115" i="4"/>
  <c r="AA106" i="4"/>
  <c r="AA147" i="4"/>
  <c r="AA143" i="4"/>
  <c r="AA134" i="4"/>
  <c r="AA116" i="4"/>
  <c r="AA87" i="4"/>
  <c r="AA105" i="4"/>
  <c r="AA77" i="4"/>
  <c r="AA74" i="4"/>
  <c r="AA66" i="4"/>
  <c r="AA137" i="4"/>
  <c r="AA129" i="4"/>
  <c r="AA86" i="4"/>
  <c r="AA85" i="4"/>
  <c r="AA80" i="4"/>
  <c r="AA98" i="4"/>
  <c r="AA93" i="4"/>
  <c r="AA92" i="4"/>
  <c r="AA79" i="4"/>
  <c r="AA71" i="4"/>
  <c r="AA125" i="4"/>
  <c r="AA122" i="4"/>
  <c r="AA108" i="4"/>
  <c r="AA70" i="4"/>
  <c r="AA54" i="4"/>
  <c r="AA119" i="4"/>
  <c r="AA99" i="4"/>
  <c r="AA114" i="4"/>
  <c r="AA109" i="4"/>
  <c r="AA56" i="4"/>
  <c r="AA149" i="4"/>
  <c r="AA126" i="4"/>
  <c r="AA124" i="4"/>
  <c r="AA150" i="4"/>
  <c r="AA82" i="4"/>
  <c r="AA76" i="4"/>
  <c r="AA48" i="4"/>
  <c r="AA44" i="4"/>
  <c r="AA41" i="4"/>
  <c r="AA51" i="4"/>
  <c r="AA159" i="4"/>
  <c r="AA132" i="4"/>
  <c r="AA57" i="4"/>
  <c r="AA47" i="4"/>
  <c r="AA155" i="4"/>
  <c r="AA133" i="4"/>
  <c r="AA60" i="4"/>
  <c r="AA39" i="4"/>
  <c r="AA32" i="4"/>
  <c r="AA151" i="4"/>
  <c r="AA73" i="4"/>
  <c r="AA62" i="4"/>
  <c r="AA61" i="4"/>
  <c r="AA52" i="4"/>
  <c r="AA96" i="4"/>
  <c r="AA90" i="4"/>
  <c r="AA69" i="4"/>
  <c r="AA100" i="4"/>
  <c r="AA88" i="4"/>
  <c r="AA64" i="4"/>
  <c r="AA45" i="4"/>
  <c r="AA110" i="4"/>
  <c r="AA131" i="4"/>
  <c r="AA38" i="4"/>
  <c r="AA31" i="4"/>
  <c r="AA102" i="4"/>
  <c r="AA65" i="4"/>
  <c r="AA153" i="4"/>
  <c r="AA84" i="4"/>
  <c r="AA81" i="4"/>
  <c r="AA78" i="4"/>
  <c r="AA75" i="4"/>
  <c r="AA89" i="4"/>
  <c r="AA67" i="4"/>
  <c r="AA59" i="4"/>
  <c r="AA40" i="4"/>
  <c r="AA36" i="4"/>
  <c r="AA43" i="4"/>
  <c r="AA29" i="4"/>
  <c r="AA20" i="4"/>
  <c r="AA97" i="4"/>
  <c r="AA35" i="4"/>
  <c r="AA27" i="4"/>
  <c r="AA72" i="4"/>
  <c r="AA49" i="4"/>
  <c r="AA22" i="4"/>
  <c r="AA16" i="4"/>
  <c r="AB10" i="4"/>
  <c r="AA13" i="4"/>
  <c r="AA55" i="4"/>
  <c r="AA53" i="4"/>
  <c r="AA68" i="4"/>
  <c r="AA46" i="4"/>
  <c r="AA42" i="4"/>
  <c r="AA24" i="4"/>
  <c r="AA15" i="4"/>
  <c r="AA25" i="4"/>
  <c r="AA18" i="4"/>
  <c r="AA123" i="4"/>
  <c r="AA58" i="4"/>
  <c r="AA50" i="4"/>
  <c r="AA63" i="4"/>
  <c r="AA21" i="4"/>
  <c r="AA11" i="4"/>
  <c r="AA26" i="4"/>
  <c r="AA17" i="4"/>
  <c r="AA33" i="4"/>
  <c r="AA30" i="4"/>
  <c r="AA28" i="4"/>
  <c r="AA101" i="4"/>
  <c r="AA34" i="4"/>
  <c r="AA37" i="4"/>
  <c r="AA12" i="4"/>
  <c r="AA19" i="4"/>
  <c r="AA14" i="4"/>
  <c r="AA23" i="4"/>
  <c r="AB164" i="4" l="1"/>
  <c r="AB156" i="4"/>
  <c r="AB148" i="4"/>
  <c r="AB140" i="4"/>
  <c r="AB132" i="4"/>
  <c r="AB124" i="4"/>
  <c r="AB116" i="4"/>
  <c r="AB162" i="4"/>
  <c r="AB149" i="4"/>
  <c r="AB142" i="4"/>
  <c r="AB128" i="4"/>
  <c r="AB106" i="4"/>
  <c r="AB160" i="4"/>
  <c r="AB159" i="4"/>
  <c r="AB141" i="4"/>
  <c r="AB134" i="4"/>
  <c r="AB157" i="4"/>
  <c r="AB147" i="4"/>
  <c r="AB133" i="4"/>
  <c r="AB136" i="4"/>
  <c r="AB118" i="4"/>
  <c r="AB117" i="4"/>
  <c r="AB98" i="4"/>
  <c r="AB88" i="4"/>
  <c r="AB80" i="4"/>
  <c r="AB166" i="4"/>
  <c r="AB102" i="4"/>
  <c r="AB85" i="4"/>
  <c r="AB145" i="4"/>
  <c r="AB115" i="4"/>
  <c r="AB158" i="4"/>
  <c r="AB146" i="4"/>
  <c r="AB143" i="4"/>
  <c r="AB144" i="4"/>
  <c r="AB155" i="4"/>
  <c r="AB154" i="4"/>
  <c r="AB121" i="4"/>
  <c r="AB105" i="4"/>
  <c r="AB77" i="4"/>
  <c r="AB74" i="4"/>
  <c r="AB66" i="4"/>
  <c r="AB165" i="4"/>
  <c r="AB139" i="4"/>
  <c r="AB104" i="4"/>
  <c r="AB103" i="4"/>
  <c r="AB81" i="4"/>
  <c r="AB109" i="4"/>
  <c r="AB107" i="4"/>
  <c r="AB68" i="4"/>
  <c r="AB63" i="4"/>
  <c r="AB61" i="4"/>
  <c r="AB59" i="4"/>
  <c r="AB57" i="4"/>
  <c r="AB55" i="4"/>
  <c r="AB161" i="4"/>
  <c r="AB72" i="4"/>
  <c r="AB52" i="4"/>
  <c r="AB47" i="4"/>
  <c r="AB138" i="4"/>
  <c r="AB84" i="4"/>
  <c r="AB82" i="4"/>
  <c r="AB64" i="4"/>
  <c r="AB119" i="4"/>
  <c r="AB99" i="4"/>
  <c r="AB94" i="4"/>
  <c r="AB60" i="4"/>
  <c r="AB152" i="4"/>
  <c r="AB78" i="4"/>
  <c r="AB43" i="4"/>
  <c r="AB40" i="4"/>
  <c r="AB151" i="4"/>
  <c r="AB95" i="4"/>
  <c r="AB150" i="4"/>
  <c r="AB137" i="4"/>
  <c r="AB135" i="4"/>
  <c r="AB122" i="4"/>
  <c r="AB108" i="4"/>
  <c r="AB111" i="4"/>
  <c r="AB130" i="4"/>
  <c r="AB120" i="4"/>
  <c r="AB87" i="4"/>
  <c r="AB114" i="4"/>
  <c r="AB101" i="4"/>
  <c r="AB83" i="4"/>
  <c r="AB58" i="4"/>
  <c r="AB35" i="4"/>
  <c r="AB129" i="4"/>
  <c r="AB53" i="4"/>
  <c r="AB51" i="4"/>
  <c r="AB50" i="4"/>
  <c r="AB49" i="4"/>
  <c r="AB125" i="4"/>
  <c r="AB92" i="4"/>
  <c r="AB73" i="4"/>
  <c r="AB62" i="4"/>
  <c r="AB96" i="4"/>
  <c r="AB90" i="4"/>
  <c r="AB69" i="4"/>
  <c r="AB48" i="4"/>
  <c r="AB29" i="4"/>
  <c r="AB27" i="4"/>
  <c r="AB25" i="4"/>
  <c r="AB23" i="4"/>
  <c r="AB113" i="4"/>
  <c r="AB100" i="4"/>
  <c r="AB56" i="4"/>
  <c r="AB45" i="4"/>
  <c r="AB110" i="4"/>
  <c r="AB131" i="4"/>
  <c r="AB38" i="4"/>
  <c r="AB31" i="4"/>
  <c r="AB86" i="4"/>
  <c r="AB70" i="4"/>
  <c r="AB65" i="4"/>
  <c r="AB44" i="4"/>
  <c r="AB153" i="4"/>
  <c r="AB127" i="4"/>
  <c r="AB112" i="4"/>
  <c r="AB75" i="4"/>
  <c r="AB97" i="4"/>
  <c r="AB93" i="4"/>
  <c r="AB91" i="4"/>
  <c r="AB126" i="4"/>
  <c r="AB76" i="4"/>
  <c r="AB89" i="4"/>
  <c r="AB54" i="4"/>
  <c r="AB14" i="4"/>
  <c r="AB67" i="4"/>
  <c r="AB46" i="4"/>
  <c r="AB37" i="4"/>
  <c r="AB39" i="4"/>
  <c r="AB22" i="4"/>
  <c r="AB16" i="4"/>
  <c r="AC10" i="4"/>
  <c r="AB26" i="4"/>
  <c r="AB19" i="4"/>
  <c r="AB123" i="4"/>
  <c r="AB21" i="4"/>
  <c r="AB42" i="4"/>
  <c r="AB24" i="4"/>
  <c r="AB12" i="4"/>
  <c r="AB13" i="4"/>
  <c r="AB15" i="4"/>
  <c r="AB71" i="4"/>
  <c r="AB163" i="4"/>
  <c r="AB20" i="4"/>
  <c r="AB17" i="4"/>
  <c r="AB36" i="4"/>
  <c r="AB33" i="4"/>
  <c r="AB32" i="4"/>
  <c r="AB41" i="4"/>
  <c r="AB30" i="4"/>
  <c r="AB79" i="4"/>
  <c r="AB28" i="4"/>
  <c r="AB18" i="4"/>
  <c r="AB34" i="4"/>
  <c r="AB11" i="4"/>
  <c r="AC159" i="4" l="1"/>
  <c r="AC151" i="4"/>
  <c r="AC143" i="4"/>
  <c r="AC135" i="4"/>
  <c r="AC127" i="4"/>
  <c r="AC161" i="4"/>
  <c r="AC153" i="4"/>
  <c r="AC165" i="4"/>
  <c r="AC157" i="4"/>
  <c r="AC149" i="4"/>
  <c r="AC141" i="4"/>
  <c r="AC133" i="4"/>
  <c r="AC125" i="4"/>
  <c r="AC117" i="4"/>
  <c r="AC109" i="4"/>
  <c r="AC101" i="4"/>
  <c r="AC121" i="4"/>
  <c r="AC91" i="4"/>
  <c r="AC158" i="4"/>
  <c r="AC156" i="4"/>
  <c r="AC155" i="4"/>
  <c r="AC164" i="4"/>
  <c r="AC140" i="4"/>
  <c r="AC98" i="4"/>
  <c r="AC88" i="4"/>
  <c r="AC80" i="4"/>
  <c r="AC116" i="4"/>
  <c r="AC111" i="4"/>
  <c r="AC107" i="4"/>
  <c r="AC145" i="4"/>
  <c r="AC115" i="4"/>
  <c r="AC94" i="4"/>
  <c r="AC146" i="4"/>
  <c r="AC142" i="4"/>
  <c r="AC147" i="4"/>
  <c r="AC144" i="4"/>
  <c r="AC97" i="4"/>
  <c r="AC137" i="4"/>
  <c r="AC160" i="4"/>
  <c r="AC139" i="4"/>
  <c r="AC104" i="4"/>
  <c r="AC103" i="4"/>
  <c r="AC81" i="4"/>
  <c r="AC126" i="4"/>
  <c r="AC106" i="4"/>
  <c r="AC71" i="4"/>
  <c r="AC154" i="4"/>
  <c r="AC132" i="4"/>
  <c r="AC122" i="4"/>
  <c r="AC110" i="4"/>
  <c r="AC108" i="4"/>
  <c r="AC76" i="4"/>
  <c r="AC118" i="4"/>
  <c r="AC93" i="4"/>
  <c r="AC92" i="4"/>
  <c r="AC79" i="4"/>
  <c r="AC42" i="4"/>
  <c r="AC112" i="4"/>
  <c r="AC83" i="4"/>
  <c r="AC70" i="4"/>
  <c r="AC57" i="4"/>
  <c r="AC54" i="4"/>
  <c r="AC49" i="4"/>
  <c r="AC152" i="4"/>
  <c r="AC136" i="4"/>
  <c r="AC134" i="4"/>
  <c r="AC78" i="4"/>
  <c r="AC63" i="4"/>
  <c r="AC148" i="4"/>
  <c r="AC130" i="4"/>
  <c r="AC113" i="4"/>
  <c r="AC100" i="4"/>
  <c r="AC95" i="4"/>
  <c r="AC84" i="4"/>
  <c r="AC46" i="4"/>
  <c r="AC37" i="4"/>
  <c r="AC166" i="4"/>
  <c r="AC123" i="4"/>
  <c r="AC72" i="4"/>
  <c r="AC51" i="4"/>
  <c r="AC162" i="4"/>
  <c r="AC128" i="4"/>
  <c r="AC120" i="4"/>
  <c r="AC114" i="4"/>
  <c r="AC77" i="4"/>
  <c r="AC58" i="4"/>
  <c r="AC56" i="4"/>
  <c r="AC129" i="4"/>
  <c r="AC35" i="4"/>
  <c r="AC119" i="4"/>
  <c r="AC96" i="4"/>
  <c r="AC90" i="4"/>
  <c r="AC69" i="4"/>
  <c r="AC61" i="4"/>
  <c r="AC105" i="4"/>
  <c r="AC45" i="4"/>
  <c r="AC34" i="4"/>
  <c r="AC64" i="4"/>
  <c r="AC131" i="4"/>
  <c r="AC86" i="4"/>
  <c r="AC65" i="4"/>
  <c r="AC44" i="4"/>
  <c r="AC138" i="4"/>
  <c r="AC102" i="4"/>
  <c r="AC74" i="4"/>
  <c r="AC43" i="4"/>
  <c r="AC150" i="4"/>
  <c r="AC124" i="4"/>
  <c r="AC75" i="4"/>
  <c r="AC99" i="4"/>
  <c r="AC82" i="4"/>
  <c r="AC68" i="4"/>
  <c r="AC39" i="4"/>
  <c r="AC32" i="4"/>
  <c r="AC85" i="4"/>
  <c r="AC67" i="4"/>
  <c r="AC17" i="4"/>
  <c r="AC36" i="4"/>
  <c r="AC28" i="4"/>
  <c r="AC23" i="4"/>
  <c r="AC16" i="4"/>
  <c r="AD10" i="4"/>
  <c r="AC26" i="4"/>
  <c r="AC19" i="4"/>
  <c r="AC66" i="4"/>
  <c r="AC52" i="4"/>
  <c r="AC40" i="4"/>
  <c r="AC13" i="4"/>
  <c r="AC87" i="4"/>
  <c r="AC55" i="4"/>
  <c r="AC59" i="4"/>
  <c r="AC50" i="4"/>
  <c r="AC24" i="4"/>
  <c r="AC12" i="4"/>
  <c r="AC11" i="4"/>
  <c r="AC53" i="4"/>
  <c r="AC48" i="4"/>
  <c r="AC15" i="4"/>
  <c r="AC38" i="4"/>
  <c r="AC163" i="4"/>
  <c r="AC33" i="4"/>
  <c r="AC29" i="4"/>
  <c r="AC60" i="4"/>
  <c r="AC41" i="4"/>
  <c r="AC30" i="4"/>
  <c r="AC22" i="4"/>
  <c r="AC18" i="4"/>
  <c r="AC14" i="4"/>
  <c r="AC47" i="4"/>
  <c r="AC21" i="4"/>
  <c r="AC73" i="4"/>
  <c r="AC25" i="4"/>
  <c r="AC62" i="4"/>
  <c r="AC31" i="4"/>
  <c r="AC20" i="4"/>
  <c r="AC89" i="4"/>
  <c r="AC27" i="4"/>
  <c r="AD161" i="4" l="1"/>
  <c r="AD153" i="4"/>
  <c r="AD145" i="4"/>
  <c r="AD137" i="4"/>
  <c r="AD129" i="4"/>
  <c r="AD121" i="4"/>
  <c r="AD160" i="4"/>
  <c r="AD148" i="4"/>
  <c r="AD134" i="4"/>
  <c r="AD127" i="4"/>
  <c r="AD99" i="4"/>
  <c r="AD147" i="4"/>
  <c r="AD140" i="4"/>
  <c r="AD126" i="4"/>
  <c r="AD139" i="4"/>
  <c r="AD132" i="4"/>
  <c r="AD117" i="4"/>
  <c r="AD116" i="4"/>
  <c r="AD111" i="4"/>
  <c r="AD107" i="4"/>
  <c r="AD166" i="4"/>
  <c r="AD165" i="4"/>
  <c r="AD102" i="4"/>
  <c r="AD91" i="4"/>
  <c r="AD85" i="4"/>
  <c r="AD146" i="4"/>
  <c r="AD142" i="4"/>
  <c r="AD106" i="4"/>
  <c r="AD158" i="4"/>
  <c r="AD144" i="4"/>
  <c r="AD143" i="4"/>
  <c r="AD110" i="4"/>
  <c r="AD101" i="4"/>
  <c r="AD90" i="4"/>
  <c r="AD131" i="4"/>
  <c r="AD163" i="4"/>
  <c r="AD138" i="4"/>
  <c r="AD135" i="4"/>
  <c r="AD141" i="4"/>
  <c r="AD71" i="4"/>
  <c r="AD156" i="4"/>
  <c r="AD151" i="4"/>
  <c r="AD86" i="4"/>
  <c r="AD84" i="4"/>
  <c r="AD73" i="4"/>
  <c r="AD65" i="4"/>
  <c r="AD82" i="4"/>
  <c r="AD64" i="4"/>
  <c r="AD154" i="4"/>
  <c r="AD125" i="4"/>
  <c r="AD122" i="4"/>
  <c r="AD119" i="4"/>
  <c r="AD108" i="4"/>
  <c r="AD81" i="4"/>
  <c r="AD60" i="4"/>
  <c r="AD130" i="4"/>
  <c r="AD113" i="4"/>
  <c r="AD104" i="4"/>
  <c r="AD100" i="4"/>
  <c r="AD77" i="4"/>
  <c r="AD76" i="4"/>
  <c r="AD69" i="4"/>
  <c r="AD150" i="4"/>
  <c r="AD109" i="4"/>
  <c r="AD118" i="4"/>
  <c r="AD149" i="4"/>
  <c r="AD123" i="4"/>
  <c r="AD79" i="4"/>
  <c r="AD55" i="4"/>
  <c r="AD92" i="4"/>
  <c r="AD88" i="4"/>
  <c r="AD152" i="4"/>
  <c r="AD162" i="4"/>
  <c r="AD128" i="4"/>
  <c r="AD120" i="4"/>
  <c r="AD87" i="4"/>
  <c r="AD164" i="4"/>
  <c r="AD114" i="4"/>
  <c r="AD103" i="4"/>
  <c r="AD159" i="4"/>
  <c r="AD98" i="4"/>
  <c r="AD83" i="4"/>
  <c r="AD57" i="4"/>
  <c r="AD56" i="4"/>
  <c r="AD43" i="4"/>
  <c r="AD40" i="4"/>
  <c r="AD133" i="4"/>
  <c r="AD136" i="4"/>
  <c r="AD72" i="4"/>
  <c r="AD63" i="4"/>
  <c r="AD62" i="4"/>
  <c r="AD46" i="4"/>
  <c r="AD96" i="4"/>
  <c r="AD105" i="4"/>
  <c r="AD94" i="4"/>
  <c r="AD80" i="4"/>
  <c r="AD44" i="4"/>
  <c r="AD157" i="4"/>
  <c r="AD115" i="4"/>
  <c r="AD74" i="4"/>
  <c r="AD70" i="4"/>
  <c r="AD124" i="4"/>
  <c r="AD75" i="4"/>
  <c r="AD37" i="4"/>
  <c r="AD112" i="4"/>
  <c r="AD78" i="4"/>
  <c r="AD97" i="4"/>
  <c r="AD93" i="4"/>
  <c r="AD66" i="4"/>
  <c r="AD155" i="4"/>
  <c r="AD54" i="4"/>
  <c r="AD53" i="4"/>
  <c r="AD50" i="4"/>
  <c r="AD36" i="4"/>
  <c r="AD35" i="4"/>
  <c r="AD28" i="4"/>
  <c r="AD23" i="4"/>
  <c r="AD11" i="4"/>
  <c r="AD58" i="4"/>
  <c r="AD49" i="4"/>
  <c r="AD26" i="4"/>
  <c r="AD19" i="4"/>
  <c r="AD52" i="4"/>
  <c r="AD13" i="4"/>
  <c r="AD95" i="4"/>
  <c r="AD59" i="4"/>
  <c r="AD47" i="4"/>
  <c r="AD41" i="4"/>
  <c r="AD25" i="4"/>
  <c r="AD18" i="4"/>
  <c r="AD68" i="4"/>
  <c r="AD45" i="4"/>
  <c r="AD42" i="4"/>
  <c r="AD51" i="4"/>
  <c r="AD32" i="4"/>
  <c r="AD17" i="4"/>
  <c r="AD15" i="4"/>
  <c r="AD61" i="4"/>
  <c r="AD48" i="4"/>
  <c r="AD29" i="4"/>
  <c r="AD38" i="4"/>
  <c r="AD67" i="4"/>
  <c r="AD30" i="4"/>
  <c r="AD22" i="4"/>
  <c r="AE10" i="4"/>
  <c r="AD14" i="4"/>
  <c r="AD20" i="4"/>
  <c r="AD34" i="4"/>
  <c r="AD39" i="4"/>
  <c r="AD16" i="4"/>
  <c r="AD21" i="4"/>
  <c r="AD89" i="4"/>
  <c r="AD27" i="4"/>
  <c r="AD31" i="4"/>
  <c r="AD33" i="4"/>
  <c r="AD24" i="4"/>
  <c r="AD12" i="4"/>
  <c r="AE164" i="4" l="1"/>
  <c r="AE156" i="4"/>
  <c r="AE148" i="4"/>
  <c r="AE140" i="4"/>
  <c r="AE132" i="4"/>
  <c r="AE124" i="4"/>
  <c r="AE166" i="4"/>
  <c r="AE158" i="4"/>
  <c r="AE162" i="4"/>
  <c r="AE154" i="4"/>
  <c r="AE146" i="4"/>
  <c r="AE138" i="4"/>
  <c r="AE130" i="4"/>
  <c r="AE122" i="4"/>
  <c r="AE114" i="4"/>
  <c r="AE106" i="4"/>
  <c r="AE159" i="4"/>
  <c r="AE141" i="4"/>
  <c r="AE116" i="4"/>
  <c r="AE109" i="4"/>
  <c r="AE96" i="4"/>
  <c r="AE157" i="4"/>
  <c r="AE155" i="4"/>
  <c r="AE133" i="4"/>
  <c r="AE120" i="4"/>
  <c r="AE165" i="4"/>
  <c r="AE102" i="4"/>
  <c r="AE91" i="4"/>
  <c r="AE85" i="4"/>
  <c r="AE77" i="4"/>
  <c r="AE115" i="4"/>
  <c r="AE94" i="4"/>
  <c r="AE144" i="4"/>
  <c r="AE143" i="4"/>
  <c r="AE97" i="4"/>
  <c r="AE147" i="4"/>
  <c r="AE131" i="4"/>
  <c r="AE105" i="4"/>
  <c r="AE93" i="4"/>
  <c r="AE129" i="4"/>
  <c r="AE126" i="4"/>
  <c r="AE139" i="4"/>
  <c r="AE136" i="4"/>
  <c r="AE151" i="4"/>
  <c r="AE86" i="4"/>
  <c r="AE163" i="4"/>
  <c r="AE68" i="4"/>
  <c r="AE63" i="4"/>
  <c r="AE123" i="4"/>
  <c r="AE117" i="4"/>
  <c r="AE79" i="4"/>
  <c r="AE112" i="4"/>
  <c r="AE103" i="4"/>
  <c r="AE84" i="4"/>
  <c r="AE83" i="4"/>
  <c r="AE80" i="4"/>
  <c r="AE71" i="4"/>
  <c r="AE70" i="4"/>
  <c r="AE57" i="4"/>
  <c r="AE54" i="4"/>
  <c r="AE49" i="4"/>
  <c r="AE152" i="4"/>
  <c r="AE99" i="4"/>
  <c r="AE78" i="4"/>
  <c r="AE150" i="4"/>
  <c r="AE87" i="4"/>
  <c r="AE75" i="4"/>
  <c r="AE149" i="4"/>
  <c r="AE92" i="4"/>
  <c r="AE88" i="4"/>
  <c r="AE50" i="4"/>
  <c r="AE134" i="4"/>
  <c r="AE125" i="4"/>
  <c r="AE104" i="4"/>
  <c r="AE137" i="4"/>
  <c r="AE135" i="4"/>
  <c r="AE128" i="4"/>
  <c r="AE108" i="4"/>
  <c r="AE111" i="4"/>
  <c r="AE58" i="4"/>
  <c r="AE47" i="4"/>
  <c r="AE142" i="4"/>
  <c r="AE101" i="4"/>
  <c r="AE118" i="4"/>
  <c r="AE95" i="4"/>
  <c r="AE46" i="4"/>
  <c r="AE37" i="4"/>
  <c r="AE73" i="4"/>
  <c r="AE61" i="4"/>
  <c r="AE55" i="4"/>
  <c r="AE52" i="4"/>
  <c r="AE48" i="4"/>
  <c r="AE29" i="4"/>
  <c r="AE27" i="4"/>
  <c r="AE119" i="4"/>
  <c r="AE98" i="4"/>
  <c r="AE113" i="4"/>
  <c r="AE100" i="4"/>
  <c r="AE64" i="4"/>
  <c r="AE56" i="4"/>
  <c r="AE38" i="4"/>
  <c r="AE31" i="4"/>
  <c r="AE161" i="4"/>
  <c r="AE110" i="4"/>
  <c r="AE44" i="4"/>
  <c r="AE74" i="4"/>
  <c r="AE65" i="4"/>
  <c r="AE121" i="4"/>
  <c r="AE43" i="4"/>
  <c r="AE153" i="4"/>
  <c r="AE127" i="4"/>
  <c r="AE33" i="4"/>
  <c r="AE107" i="4"/>
  <c r="AE81" i="4"/>
  <c r="AE160" i="4"/>
  <c r="AE66" i="4"/>
  <c r="AE89" i="4"/>
  <c r="AE67" i="4"/>
  <c r="AE60" i="4"/>
  <c r="AE51" i="4"/>
  <c r="AE35" i="4"/>
  <c r="AE22" i="4"/>
  <c r="AE72" i="4"/>
  <c r="AE13" i="4"/>
  <c r="AE40" i="4"/>
  <c r="AE21" i="4"/>
  <c r="AE12" i="4"/>
  <c r="AE53" i="4"/>
  <c r="AE90" i="4"/>
  <c r="AE30" i="4"/>
  <c r="AE32" i="4"/>
  <c r="AE18" i="4"/>
  <c r="AF10" i="4"/>
  <c r="AE25" i="4"/>
  <c r="AE19" i="4"/>
  <c r="AE17" i="4"/>
  <c r="AE145" i="4"/>
  <c r="AE82" i="4"/>
  <c r="AE20" i="4"/>
  <c r="AE36" i="4"/>
  <c r="AE26" i="4"/>
  <c r="AE45" i="4"/>
  <c r="AE41" i="4"/>
  <c r="AE14" i="4"/>
  <c r="AE39" i="4"/>
  <c r="AE34" i="4"/>
  <c r="AE76" i="4"/>
  <c r="AE62" i="4"/>
  <c r="AE69" i="4"/>
  <c r="AE59" i="4"/>
  <c r="AE24" i="4"/>
  <c r="AE23" i="4"/>
  <c r="AE11" i="4"/>
  <c r="AE15" i="4"/>
  <c r="AE16" i="4"/>
  <c r="AE42" i="4"/>
  <c r="AE28" i="4"/>
  <c r="AF166" i="4" l="1"/>
  <c r="AF158" i="4"/>
  <c r="AF150" i="4"/>
  <c r="AF142" i="4"/>
  <c r="AF134" i="4"/>
  <c r="AF126" i="4"/>
  <c r="AF118" i="4"/>
  <c r="AF147" i="4"/>
  <c r="AF112" i="4"/>
  <c r="AF102" i="4"/>
  <c r="AF156" i="4"/>
  <c r="AF139" i="4"/>
  <c r="AF146" i="4"/>
  <c r="AF131" i="4"/>
  <c r="AF115" i="4"/>
  <c r="AF94" i="4"/>
  <c r="AF157" i="4"/>
  <c r="AF145" i="4"/>
  <c r="AF141" i="4"/>
  <c r="AF82" i="4"/>
  <c r="AF110" i="4"/>
  <c r="AF101" i="4"/>
  <c r="AF90" i="4"/>
  <c r="AF87" i="4"/>
  <c r="AF129" i="4"/>
  <c r="AF125" i="4"/>
  <c r="AF124" i="4"/>
  <c r="AF123" i="4"/>
  <c r="AF114" i="4"/>
  <c r="AF159" i="4"/>
  <c r="AF148" i="4"/>
  <c r="AF130" i="4"/>
  <c r="AF128" i="4"/>
  <c r="AF127" i="4"/>
  <c r="AF162" i="4"/>
  <c r="AF165" i="4"/>
  <c r="AF163" i="4"/>
  <c r="AF106" i="4"/>
  <c r="AF68" i="4"/>
  <c r="AF63" i="4"/>
  <c r="AF61" i="4"/>
  <c r="AF59" i="4"/>
  <c r="AF57" i="4"/>
  <c r="AF55" i="4"/>
  <c r="AF53" i="4"/>
  <c r="AF51" i="4"/>
  <c r="AF49" i="4"/>
  <c r="AF47" i="4"/>
  <c r="AF45" i="4"/>
  <c r="AF43" i="4"/>
  <c r="AF41" i="4"/>
  <c r="AF39" i="4"/>
  <c r="AF37" i="4"/>
  <c r="AF35" i="4"/>
  <c r="AF137" i="4"/>
  <c r="AF108" i="4"/>
  <c r="AF80" i="4"/>
  <c r="AF76" i="4"/>
  <c r="AF111" i="4"/>
  <c r="AF70" i="4"/>
  <c r="AF138" i="4"/>
  <c r="AF119" i="4"/>
  <c r="AF81" i="4"/>
  <c r="AF60" i="4"/>
  <c r="AF44" i="4"/>
  <c r="AF140" i="4"/>
  <c r="AF136" i="4"/>
  <c r="AF132" i="4"/>
  <c r="AF113" i="4"/>
  <c r="AF104" i="4"/>
  <c r="AF100" i="4"/>
  <c r="AF85" i="4"/>
  <c r="AF69" i="4"/>
  <c r="AF109" i="4"/>
  <c r="AF86" i="4"/>
  <c r="AF56" i="4"/>
  <c r="AF164" i="4"/>
  <c r="AF105" i="4"/>
  <c r="AF144" i="4"/>
  <c r="AF151" i="4"/>
  <c r="AF67" i="4"/>
  <c r="AF32" i="4"/>
  <c r="AF30" i="4"/>
  <c r="AF161" i="4"/>
  <c r="AF153" i="4"/>
  <c r="AF96" i="4"/>
  <c r="AF122" i="4"/>
  <c r="AF120" i="4"/>
  <c r="AF103" i="4"/>
  <c r="AF98" i="4"/>
  <c r="AF91" i="4"/>
  <c r="AF154" i="4"/>
  <c r="AF95" i="4"/>
  <c r="AF149" i="4"/>
  <c r="AF116" i="4"/>
  <c r="AF78" i="4"/>
  <c r="AF34" i="4"/>
  <c r="AF92" i="4"/>
  <c r="AF64" i="4"/>
  <c r="AF143" i="4"/>
  <c r="AF83" i="4"/>
  <c r="AF77" i="4"/>
  <c r="AF88" i="4"/>
  <c r="AF74" i="4"/>
  <c r="AF65" i="4"/>
  <c r="AF121" i="4"/>
  <c r="AF135" i="4"/>
  <c r="AF75" i="4"/>
  <c r="AF33" i="4"/>
  <c r="AF107" i="4"/>
  <c r="AF42" i="4"/>
  <c r="AF28" i="4"/>
  <c r="AF26" i="4"/>
  <c r="AF24" i="4"/>
  <c r="AF22" i="4"/>
  <c r="AF20" i="4"/>
  <c r="AF18" i="4"/>
  <c r="AF16" i="4"/>
  <c r="AF14" i="4"/>
  <c r="AF12" i="4"/>
  <c r="AF160" i="4"/>
  <c r="AF97" i="4"/>
  <c r="AF93" i="4"/>
  <c r="AF84" i="4"/>
  <c r="AF66" i="4"/>
  <c r="AF99" i="4"/>
  <c r="AF89" i="4"/>
  <c r="AF152" i="4"/>
  <c r="AF133" i="4"/>
  <c r="AF72" i="4"/>
  <c r="AF62" i="4"/>
  <c r="AF58" i="4"/>
  <c r="AF46" i="4"/>
  <c r="AF38" i="4"/>
  <c r="AF27" i="4"/>
  <c r="AF52" i="4"/>
  <c r="AF40" i="4"/>
  <c r="AF25" i="4"/>
  <c r="AF155" i="4"/>
  <c r="AF50" i="4"/>
  <c r="AF15" i="4"/>
  <c r="AF71" i="4"/>
  <c r="AF31" i="4"/>
  <c r="AG10" i="4"/>
  <c r="AF17" i="4"/>
  <c r="AF36" i="4"/>
  <c r="AF11" i="4"/>
  <c r="AF117" i="4"/>
  <c r="AF21" i="4"/>
  <c r="AF19" i="4"/>
  <c r="AF73" i="4"/>
  <c r="AF54" i="4"/>
  <c r="AF13" i="4"/>
  <c r="AF23" i="4"/>
  <c r="AF79" i="4"/>
  <c r="AF48" i="4"/>
  <c r="AF29" i="4"/>
  <c r="AG161" i="4" l="1"/>
  <c r="AG153" i="4"/>
  <c r="AG145" i="4"/>
  <c r="AG137" i="4"/>
  <c r="AG129" i="4"/>
  <c r="AG166" i="4"/>
  <c r="AG163" i="4"/>
  <c r="AG155" i="4"/>
  <c r="AG159" i="4"/>
  <c r="AG151" i="4"/>
  <c r="AG143" i="4"/>
  <c r="AG135" i="4"/>
  <c r="AG127" i="4"/>
  <c r="AG119" i="4"/>
  <c r="AG111" i="4"/>
  <c r="AG103" i="4"/>
  <c r="AG158" i="4"/>
  <c r="AG157" i="4"/>
  <c r="AG140" i="4"/>
  <c r="AG133" i="4"/>
  <c r="AG126" i="4"/>
  <c r="AG120" i="4"/>
  <c r="AG105" i="4"/>
  <c r="AG93" i="4"/>
  <c r="AG132" i="4"/>
  <c r="AG125" i="4"/>
  <c r="AG154" i="4"/>
  <c r="AG141" i="4"/>
  <c r="AG82" i="4"/>
  <c r="AG144" i="4"/>
  <c r="AG142" i="4"/>
  <c r="AG106" i="4"/>
  <c r="AG97" i="4"/>
  <c r="AG147" i="4"/>
  <c r="AG131" i="4"/>
  <c r="AG124" i="4"/>
  <c r="AG123" i="4"/>
  <c r="AG114" i="4"/>
  <c r="AG148" i="4"/>
  <c r="AG130" i="4"/>
  <c r="AG128" i="4"/>
  <c r="AG100" i="4"/>
  <c r="AG152" i="4"/>
  <c r="AG149" i="4"/>
  <c r="AG164" i="4"/>
  <c r="AG156" i="4"/>
  <c r="AG108" i="4"/>
  <c r="AG80" i="4"/>
  <c r="AG76" i="4"/>
  <c r="AG146" i="4"/>
  <c r="AG134" i="4"/>
  <c r="AG122" i="4"/>
  <c r="AG109" i="4"/>
  <c r="AG107" i="4"/>
  <c r="AG85" i="4"/>
  <c r="AG84" i="4"/>
  <c r="AG73" i="4"/>
  <c r="AG65" i="4"/>
  <c r="AG113" i="4"/>
  <c r="AG99" i="4"/>
  <c r="AG78" i="4"/>
  <c r="AG39" i="4"/>
  <c r="AG116" i="4"/>
  <c r="AG94" i="4"/>
  <c r="AG77" i="4"/>
  <c r="AG75" i="4"/>
  <c r="AG63" i="4"/>
  <c r="AG51" i="4"/>
  <c r="AG46" i="4"/>
  <c r="AG95" i="4"/>
  <c r="AG68" i="4"/>
  <c r="AG67" i="4"/>
  <c r="AG160" i="4"/>
  <c r="AG104" i="4"/>
  <c r="AG96" i="4"/>
  <c r="AG54" i="4"/>
  <c r="AG34" i="4"/>
  <c r="AG121" i="4"/>
  <c r="AG89" i="4"/>
  <c r="AG162" i="4"/>
  <c r="AG98" i="4"/>
  <c r="AG91" i="4"/>
  <c r="AG87" i="4"/>
  <c r="AG83" i="4"/>
  <c r="AG56" i="4"/>
  <c r="AG40" i="4"/>
  <c r="AG101" i="4"/>
  <c r="AG139" i="4"/>
  <c r="AG118" i="4"/>
  <c r="AG92" i="4"/>
  <c r="AG88" i="4"/>
  <c r="AG79" i="4"/>
  <c r="AG55" i="4"/>
  <c r="AG50" i="4"/>
  <c r="AG136" i="4"/>
  <c r="AG90" i="4"/>
  <c r="AG69" i="4"/>
  <c r="AG47" i="4"/>
  <c r="AG45" i="4"/>
  <c r="AG110" i="4"/>
  <c r="AG74" i="4"/>
  <c r="AG44" i="4"/>
  <c r="AG165" i="4"/>
  <c r="AG115" i="4"/>
  <c r="AG86" i="4"/>
  <c r="AG70" i="4"/>
  <c r="AG43" i="4"/>
  <c r="AG138" i="4"/>
  <c r="AG102" i="4"/>
  <c r="AG42" i="4"/>
  <c r="AG37" i="4"/>
  <c r="AG28" i="4"/>
  <c r="AG26" i="4"/>
  <c r="AG24" i="4"/>
  <c r="AG22" i="4"/>
  <c r="AG20" i="4"/>
  <c r="AG18" i="4"/>
  <c r="AG16" i="4"/>
  <c r="AG14" i="4"/>
  <c r="AG12" i="4"/>
  <c r="AG150" i="4"/>
  <c r="AG112" i="4"/>
  <c r="AG81" i="4"/>
  <c r="AG66" i="4"/>
  <c r="AG57" i="4"/>
  <c r="AG58" i="4"/>
  <c r="AG117" i="4"/>
  <c r="AG71" i="4"/>
  <c r="AG52" i="4"/>
  <c r="AG49" i="4"/>
  <c r="AG48" i="4"/>
  <c r="AG29" i="4"/>
  <c r="AG27" i="4"/>
  <c r="AG25" i="4"/>
  <c r="AG38" i="4"/>
  <c r="AH10" i="4"/>
  <c r="AG64" i="4"/>
  <c r="AG61" i="4"/>
  <c r="AG59" i="4"/>
  <c r="AG41" i="4"/>
  <c r="AG21" i="4"/>
  <c r="AG53" i="4"/>
  <c r="AG33" i="4"/>
  <c r="AG32" i="4"/>
  <c r="AG72" i="4"/>
  <c r="AG19" i="4"/>
  <c r="AG15" i="4"/>
  <c r="AG36" i="4"/>
  <c r="AG30" i="4"/>
  <c r="AG60" i="4"/>
  <c r="AG62" i="4"/>
  <c r="AG13" i="4"/>
  <c r="AG31" i="4"/>
  <c r="AG23" i="4"/>
  <c r="AG11" i="4"/>
  <c r="AG17" i="4"/>
  <c r="AG35" i="4"/>
  <c r="AH166" i="4" l="1"/>
  <c r="AH163" i="4"/>
  <c r="AH155" i="4"/>
  <c r="AH147" i="4"/>
  <c r="AH139" i="4"/>
  <c r="AH131" i="4"/>
  <c r="AH123" i="4"/>
  <c r="AH115" i="4"/>
  <c r="AH156" i="4"/>
  <c r="AH146" i="4"/>
  <c r="AH153" i="4"/>
  <c r="AH152" i="4"/>
  <c r="AH145" i="4"/>
  <c r="AH138" i="4"/>
  <c r="AH157" i="4"/>
  <c r="AH144" i="4"/>
  <c r="AH142" i="4"/>
  <c r="AH106" i="4"/>
  <c r="AH97" i="4"/>
  <c r="AH143" i="4"/>
  <c r="AH110" i="4"/>
  <c r="AH101" i="4"/>
  <c r="AH90" i="4"/>
  <c r="AH87" i="4"/>
  <c r="AH79" i="4"/>
  <c r="AH158" i="4"/>
  <c r="AH124" i="4"/>
  <c r="AH114" i="4"/>
  <c r="AH105" i="4"/>
  <c r="AH93" i="4"/>
  <c r="AH84" i="4"/>
  <c r="AH148" i="4"/>
  <c r="AH130" i="4"/>
  <c r="AH129" i="4"/>
  <c r="AH128" i="4"/>
  <c r="AH125" i="4"/>
  <c r="AH159" i="4"/>
  <c r="AH149" i="4"/>
  <c r="AH127" i="4"/>
  <c r="AH126" i="4"/>
  <c r="AH109" i="4"/>
  <c r="AH96" i="4"/>
  <c r="AH160" i="4"/>
  <c r="AH151" i="4"/>
  <c r="AH150" i="4"/>
  <c r="AH132" i="4"/>
  <c r="AH165" i="4"/>
  <c r="AH137" i="4"/>
  <c r="AH134" i="4"/>
  <c r="AH122" i="4"/>
  <c r="AH107" i="4"/>
  <c r="AH85" i="4"/>
  <c r="AH73" i="4"/>
  <c r="AH65" i="4"/>
  <c r="AH154" i="4"/>
  <c r="AH117" i="4"/>
  <c r="AH112" i="4"/>
  <c r="AH83" i="4"/>
  <c r="AH75" i="4"/>
  <c r="AH67" i="4"/>
  <c r="AH136" i="4"/>
  <c r="AH108" i="4"/>
  <c r="AH104" i="4"/>
  <c r="AH69" i="4"/>
  <c r="AH86" i="4"/>
  <c r="AH76" i="4"/>
  <c r="AH56" i="4"/>
  <c r="AH164" i="4"/>
  <c r="AH89" i="4"/>
  <c r="AH88" i="4"/>
  <c r="AH62" i="4"/>
  <c r="AH59" i="4"/>
  <c r="AH53" i="4"/>
  <c r="AH120" i="4"/>
  <c r="AH161" i="4"/>
  <c r="AH121" i="4"/>
  <c r="AH66" i="4"/>
  <c r="AH64" i="4"/>
  <c r="AH42" i="4"/>
  <c r="AH39" i="4"/>
  <c r="AH99" i="4"/>
  <c r="AH111" i="4"/>
  <c r="AH103" i="4"/>
  <c r="AH77" i="4"/>
  <c r="AH57" i="4"/>
  <c r="AH43" i="4"/>
  <c r="AH118" i="4"/>
  <c r="AH116" i="4"/>
  <c r="AH92" i="4"/>
  <c r="AH78" i="4"/>
  <c r="AH55" i="4"/>
  <c r="AH50" i="4"/>
  <c r="AH140" i="4"/>
  <c r="AH119" i="4"/>
  <c r="AH98" i="4"/>
  <c r="AH38" i="4"/>
  <c r="AH31" i="4"/>
  <c r="AH162" i="4"/>
  <c r="AH113" i="4"/>
  <c r="AH100" i="4"/>
  <c r="AH94" i="4"/>
  <c r="AH80" i="4"/>
  <c r="AH74" i="4"/>
  <c r="AH70" i="4"/>
  <c r="AH135" i="4"/>
  <c r="AH102" i="4"/>
  <c r="AH81" i="4"/>
  <c r="AH36" i="4"/>
  <c r="AH30" i="4"/>
  <c r="AH91" i="4"/>
  <c r="AH71" i="4"/>
  <c r="AH141" i="4"/>
  <c r="AH95" i="4"/>
  <c r="AH61" i="4"/>
  <c r="AH46" i="4"/>
  <c r="AH37" i="4"/>
  <c r="AH27" i="4"/>
  <c r="AH22" i="4"/>
  <c r="AH19" i="4"/>
  <c r="AH133" i="4"/>
  <c r="AH44" i="4"/>
  <c r="AH41" i="4"/>
  <c r="AH25" i="4"/>
  <c r="AH21" i="4"/>
  <c r="AH63" i="4"/>
  <c r="AH18" i="4"/>
  <c r="AH15" i="4"/>
  <c r="AH68" i="4"/>
  <c r="AH24" i="4"/>
  <c r="AH34" i="4"/>
  <c r="AH20" i="4"/>
  <c r="AH32" i="4"/>
  <c r="AH28" i="4"/>
  <c r="AH12" i="4"/>
  <c r="AH48" i="4"/>
  <c r="AH40" i="4"/>
  <c r="AH35" i="4"/>
  <c r="AH13" i="4"/>
  <c r="AH16" i="4"/>
  <c r="AH82" i="4"/>
  <c r="AH58" i="4"/>
  <c r="AH29" i="4"/>
  <c r="AH33" i="4"/>
  <c r="AH60" i="4"/>
  <c r="AH45" i="4"/>
  <c r="AH52" i="4"/>
  <c r="AH47" i="4"/>
  <c r="AH14" i="4"/>
  <c r="AH54" i="4"/>
  <c r="AH23" i="4"/>
  <c r="AH11" i="4"/>
  <c r="AH17" i="4"/>
  <c r="AH49" i="4"/>
  <c r="AH72" i="4"/>
  <c r="AH51" i="4"/>
  <c r="AI10" i="4"/>
  <c r="AH26" i="4"/>
  <c r="AI166" i="4" l="1"/>
  <c r="AI158" i="4"/>
  <c r="AI150" i="4"/>
  <c r="AI142" i="4"/>
  <c r="AI134" i="4"/>
  <c r="AI126" i="4"/>
  <c r="AI160" i="4"/>
  <c r="AI152" i="4"/>
  <c r="AI164" i="4"/>
  <c r="AI156" i="4"/>
  <c r="AI148" i="4"/>
  <c r="AI140" i="4"/>
  <c r="AI132" i="4"/>
  <c r="AI124" i="4"/>
  <c r="AI116" i="4"/>
  <c r="AI108" i="4"/>
  <c r="AI100" i="4"/>
  <c r="AI155" i="4"/>
  <c r="AI139" i="4"/>
  <c r="AI125" i="4"/>
  <c r="AI115" i="4"/>
  <c r="AI98" i="4"/>
  <c r="AI90" i="4"/>
  <c r="AI154" i="4"/>
  <c r="AI131" i="4"/>
  <c r="AI119" i="4"/>
  <c r="AI145" i="4"/>
  <c r="AI143" i="4"/>
  <c r="AI110" i="4"/>
  <c r="AI101" i="4"/>
  <c r="AI87" i="4"/>
  <c r="AI79" i="4"/>
  <c r="AI146" i="4"/>
  <c r="AI130" i="4"/>
  <c r="AI129" i="4"/>
  <c r="AI128" i="4"/>
  <c r="AI123" i="4"/>
  <c r="AI159" i="4"/>
  <c r="AI149" i="4"/>
  <c r="AI127" i="4"/>
  <c r="AI151" i="4"/>
  <c r="AI122" i="4"/>
  <c r="AI113" i="4"/>
  <c r="AI104" i="4"/>
  <c r="AI89" i="4"/>
  <c r="AI117" i="4"/>
  <c r="AI109" i="4"/>
  <c r="AI84" i="4"/>
  <c r="AI70" i="4"/>
  <c r="AI161" i="4"/>
  <c r="AI144" i="4"/>
  <c r="AI118" i="4"/>
  <c r="AI94" i="4"/>
  <c r="AI77" i="4"/>
  <c r="AI63" i="4"/>
  <c r="AI51" i="4"/>
  <c r="AI46" i="4"/>
  <c r="AI95" i="4"/>
  <c r="AI68" i="4"/>
  <c r="AI120" i="4"/>
  <c r="AI105" i="4"/>
  <c r="AI74" i="4"/>
  <c r="AI162" i="4"/>
  <c r="AI114" i="4"/>
  <c r="AI121" i="4"/>
  <c r="AI153" i="4"/>
  <c r="AI99" i="4"/>
  <c r="AI65" i="4"/>
  <c r="AI62" i="4"/>
  <c r="AI53" i="4"/>
  <c r="AI45" i="4"/>
  <c r="AI141" i="4"/>
  <c r="AI136" i="4"/>
  <c r="AI112" i="4"/>
  <c r="AI147" i="4"/>
  <c r="AI106" i="4"/>
  <c r="AI88" i="4"/>
  <c r="AI54" i="4"/>
  <c r="AI34" i="4"/>
  <c r="AI103" i="4"/>
  <c r="AI96" i="4"/>
  <c r="AI92" i="4"/>
  <c r="AI64" i="4"/>
  <c r="AI83" i="4"/>
  <c r="AI33" i="4"/>
  <c r="AI165" i="4"/>
  <c r="AI135" i="4"/>
  <c r="AI102" i="4"/>
  <c r="AI86" i="4"/>
  <c r="AI43" i="4"/>
  <c r="AI157" i="4"/>
  <c r="AI138" i="4"/>
  <c r="AI81" i="4"/>
  <c r="AI75" i="4"/>
  <c r="AI42" i="4"/>
  <c r="AI107" i="4"/>
  <c r="AI66" i="4"/>
  <c r="AI57" i="4"/>
  <c r="AI36" i="4"/>
  <c r="AI30" i="4"/>
  <c r="AI97" i="4"/>
  <c r="AI93" i="4"/>
  <c r="AI78" i="4"/>
  <c r="AI58" i="4"/>
  <c r="AI41" i="4"/>
  <c r="AI91" i="4"/>
  <c r="AI71" i="4"/>
  <c r="AI67" i="4"/>
  <c r="AI59" i="4"/>
  <c r="AI163" i="4"/>
  <c r="AI111" i="4"/>
  <c r="AI85" i="4"/>
  <c r="AI73" i="4"/>
  <c r="AI47" i="4"/>
  <c r="AI133" i="4"/>
  <c r="AI16" i="4"/>
  <c r="AI13" i="4"/>
  <c r="AI72" i="4"/>
  <c r="AI56" i="4"/>
  <c r="AI39" i="4"/>
  <c r="AI26" i="4"/>
  <c r="AI25" i="4"/>
  <c r="AI21" i="4"/>
  <c r="AI61" i="4"/>
  <c r="AI18" i="4"/>
  <c r="AI15" i="4"/>
  <c r="AI12" i="4"/>
  <c r="AI80" i="4"/>
  <c r="AI76" i="4"/>
  <c r="AI48" i="4"/>
  <c r="AI29" i="4"/>
  <c r="AI23" i="4"/>
  <c r="AI44" i="4"/>
  <c r="AI40" i="4"/>
  <c r="AI35" i="4"/>
  <c r="AI11" i="4"/>
  <c r="AI17" i="4"/>
  <c r="AI14" i="4"/>
  <c r="AI19" i="4"/>
  <c r="AI82" i="4"/>
  <c r="AI38" i="4"/>
  <c r="AI50" i="4"/>
  <c r="AI137" i="4"/>
  <c r="AI55" i="4"/>
  <c r="AI60" i="4"/>
  <c r="AI52" i="4"/>
  <c r="AI22" i="4"/>
  <c r="AI31" i="4"/>
  <c r="AI27" i="4"/>
  <c r="AJ10" i="4"/>
  <c r="AI20" i="4"/>
  <c r="AI69" i="4"/>
  <c r="AI49" i="4"/>
  <c r="AI37" i="4"/>
  <c r="AI24" i="4"/>
  <c r="AI32" i="4"/>
  <c r="AI28" i="4"/>
  <c r="AJ160" i="4" l="1"/>
  <c r="AJ152" i="4"/>
  <c r="AJ144" i="4"/>
  <c r="AJ136" i="4"/>
  <c r="AJ128" i="4"/>
  <c r="AJ120" i="4"/>
  <c r="AJ146" i="4"/>
  <c r="AJ132" i="4"/>
  <c r="AJ108" i="4"/>
  <c r="AJ153" i="4"/>
  <c r="AJ145" i="4"/>
  <c r="AJ138" i="4"/>
  <c r="AJ124" i="4"/>
  <c r="AJ137" i="4"/>
  <c r="AJ130" i="4"/>
  <c r="AJ166" i="4"/>
  <c r="AJ90" i="4"/>
  <c r="AJ147" i="4"/>
  <c r="AJ114" i="4"/>
  <c r="AJ105" i="4"/>
  <c r="AJ93" i="4"/>
  <c r="AJ84" i="4"/>
  <c r="AJ159" i="4"/>
  <c r="AJ149" i="4"/>
  <c r="AJ148" i="4"/>
  <c r="AJ131" i="4"/>
  <c r="AJ127" i="4"/>
  <c r="AJ125" i="4"/>
  <c r="AJ109" i="4"/>
  <c r="AJ100" i="4"/>
  <c r="AJ96" i="4"/>
  <c r="AJ151" i="4"/>
  <c r="AJ126" i="4"/>
  <c r="AJ122" i="4"/>
  <c r="AJ113" i="4"/>
  <c r="AJ150" i="4"/>
  <c r="AJ121" i="4"/>
  <c r="AJ133" i="4"/>
  <c r="AJ156" i="4"/>
  <c r="AJ141" i="4"/>
  <c r="AJ140" i="4"/>
  <c r="AJ154" i="4"/>
  <c r="AJ70" i="4"/>
  <c r="AJ129" i="4"/>
  <c r="AJ111" i="4"/>
  <c r="AJ110" i="4"/>
  <c r="AJ79" i="4"/>
  <c r="AJ135" i="4"/>
  <c r="AJ78" i="4"/>
  <c r="AJ72" i="4"/>
  <c r="AJ64" i="4"/>
  <c r="AJ62" i="4"/>
  <c r="AJ60" i="4"/>
  <c r="AJ58" i="4"/>
  <c r="AJ56" i="4"/>
  <c r="AJ116" i="4"/>
  <c r="AJ86" i="4"/>
  <c r="AJ85" i="4"/>
  <c r="AJ76" i="4"/>
  <c r="AJ75" i="4"/>
  <c r="AJ41" i="4"/>
  <c r="AJ142" i="4"/>
  <c r="AJ134" i="4"/>
  <c r="AJ88" i="4"/>
  <c r="AJ87" i="4"/>
  <c r="AJ67" i="4"/>
  <c r="AJ59" i="4"/>
  <c r="AJ53" i="4"/>
  <c r="AJ48" i="4"/>
  <c r="AJ162" i="4"/>
  <c r="AJ158" i="4"/>
  <c r="AJ123" i="4"/>
  <c r="AJ101" i="4"/>
  <c r="AJ161" i="4"/>
  <c r="AJ112" i="4"/>
  <c r="AJ89" i="4"/>
  <c r="AJ68" i="4"/>
  <c r="AJ63" i="4"/>
  <c r="AJ49" i="4"/>
  <c r="AJ36" i="4"/>
  <c r="AJ163" i="4"/>
  <c r="AJ164" i="4"/>
  <c r="AJ118" i="4"/>
  <c r="AJ95" i="4"/>
  <c r="AJ92" i="4"/>
  <c r="AJ55" i="4"/>
  <c r="AJ50" i="4"/>
  <c r="AJ46" i="4"/>
  <c r="AJ139" i="4"/>
  <c r="AJ106" i="4"/>
  <c r="AJ54" i="4"/>
  <c r="AJ66" i="4"/>
  <c r="AJ42" i="4"/>
  <c r="AJ39" i="4"/>
  <c r="AJ119" i="4"/>
  <c r="AJ103" i="4"/>
  <c r="AJ98" i="4"/>
  <c r="AJ80" i="4"/>
  <c r="AJ44" i="4"/>
  <c r="AJ94" i="4"/>
  <c r="AJ143" i="4"/>
  <c r="AJ77" i="4"/>
  <c r="AJ165" i="4"/>
  <c r="AJ102" i="4"/>
  <c r="AJ65" i="4"/>
  <c r="AJ43" i="4"/>
  <c r="AJ37" i="4"/>
  <c r="AJ28" i="4"/>
  <c r="AJ26" i="4"/>
  <c r="AJ24" i="4"/>
  <c r="AJ22" i="4"/>
  <c r="AJ157" i="4"/>
  <c r="AJ115" i="4"/>
  <c r="AJ81" i="4"/>
  <c r="AJ107" i="4"/>
  <c r="AJ57" i="4"/>
  <c r="AJ97" i="4"/>
  <c r="AJ91" i="4"/>
  <c r="AJ71" i="4"/>
  <c r="AJ104" i="4"/>
  <c r="AJ99" i="4"/>
  <c r="AJ117" i="4"/>
  <c r="AJ82" i="4"/>
  <c r="AJ69" i="4"/>
  <c r="AJ45" i="4"/>
  <c r="AJ38" i="4"/>
  <c r="AJ34" i="4"/>
  <c r="AJ31" i="4"/>
  <c r="AJ52" i="4"/>
  <c r="AJ40" i="4"/>
  <c r="AJ61" i="4"/>
  <c r="AJ18" i="4"/>
  <c r="AJ15" i="4"/>
  <c r="AJ12" i="4"/>
  <c r="AJ47" i="4"/>
  <c r="AJ32" i="4"/>
  <c r="AJ73" i="4"/>
  <c r="AJ17" i="4"/>
  <c r="AJ14" i="4"/>
  <c r="AJ13" i="4"/>
  <c r="AJ25" i="4"/>
  <c r="AJ30" i="4"/>
  <c r="AJ33" i="4"/>
  <c r="AJ74" i="4"/>
  <c r="AJ155" i="4"/>
  <c r="AJ27" i="4"/>
  <c r="AJ23" i="4"/>
  <c r="AJ20" i="4"/>
  <c r="AJ29" i="4"/>
  <c r="AK10" i="4"/>
  <c r="AJ51" i="4"/>
  <c r="AJ83" i="4"/>
  <c r="AJ35" i="4"/>
  <c r="AJ11" i="4"/>
  <c r="AJ19" i="4"/>
  <c r="AJ16" i="4"/>
  <c r="AJ21" i="4"/>
  <c r="AK163" i="4" l="1"/>
  <c r="AK155" i="4"/>
  <c r="AK147" i="4"/>
  <c r="AK139" i="4"/>
  <c r="AK131" i="4"/>
  <c r="AK123" i="4"/>
  <c r="AK165" i="4"/>
  <c r="AK157" i="4"/>
  <c r="AK161" i="4"/>
  <c r="AK153" i="4"/>
  <c r="AK145" i="4"/>
  <c r="AK137" i="4"/>
  <c r="AK129" i="4"/>
  <c r="AK121" i="4"/>
  <c r="AK113" i="4"/>
  <c r="AK105" i="4"/>
  <c r="AK154" i="4"/>
  <c r="AK119" i="4"/>
  <c r="AK111" i="4"/>
  <c r="AK101" i="4"/>
  <c r="AK95" i="4"/>
  <c r="AK151" i="4"/>
  <c r="AK144" i="4"/>
  <c r="AK146" i="4"/>
  <c r="AK114" i="4"/>
  <c r="AK93" i="4"/>
  <c r="AK84" i="4"/>
  <c r="AK76" i="4"/>
  <c r="AK158" i="4"/>
  <c r="AK126" i="4"/>
  <c r="AK122" i="4"/>
  <c r="AK104" i="4"/>
  <c r="AK89" i="4"/>
  <c r="AK150" i="4"/>
  <c r="AK160" i="4"/>
  <c r="AK152" i="4"/>
  <c r="AK133" i="4"/>
  <c r="AK132" i="4"/>
  <c r="AK99" i="4"/>
  <c r="AK92" i="4"/>
  <c r="AK110" i="4"/>
  <c r="AK79" i="4"/>
  <c r="AK112" i="4"/>
  <c r="AK83" i="4"/>
  <c r="AK75" i="4"/>
  <c r="AK67" i="4"/>
  <c r="AK149" i="4"/>
  <c r="AK140" i="4"/>
  <c r="AK125" i="4"/>
  <c r="AK100" i="4"/>
  <c r="AK68" i="4"/>
  <c r="AK56" i="4"/>
  <c r="AK164" i="4"/>
  <c r="AK156" i="4"/>
  <c r="AK74" i="4"/>
  <c r="AK62" i="4"/>
  <c r="AK148" i="4"/>
  <c r="AK96" i="4"/>
  <c r="AK66" i="4"/>
  <c r="AK128" i="4"/>
  <c r="AK117" i="4"/>
  <c r="AK109" i="4"/>
  <c r="AK166" i="4"/>
  <c r="AK141" i="4"/>
  <c r="AK136" i="4"/>
  <c r="AK134" i="4"/>
  <c r="AK80" i="4"/>
  <c r="AK69" i="4"/>
  <c r="AK138" i="4"/>
  <c r="AK127" i="4"/>
  <c r="AK107" i="4"/>
  <c r="AK102" i="4"/>
  <c r="AK118" i="4"/>
  <c r="AK142" i="4"/>
  <c r="AK106" i="4"/>
  <c r="AK78" i="4"/>
  <c r="AK159" i="4"/>
  <c r="AK130" i="4"/>
  <c r="AK116" i="4"/>
  <c r="AK65" i="4"/>
  <c r="AK64" i="4"/>
  <c r="AK45" i="4"/>
  <c r="AK162" i="4"/>
  <c r="AK94" i="4"/>
  <c r="AK143" i="4"/>
  <c r="AK108" i="4"/>
  <c r="AK135" i="4"/>
  <c r="AK115" i="4"/>
  <c r="AK88" i="4"/>
  <c r="AK86" i="4"/>
  <c r="AK81" i="4"/>
  <c r="AK70" i="4"/>
  <c r="AK57" i="4"/>
  <c r="AK42" i="4"/>
  <c r="AK97" i="4"/>
  <c r="AK124" i="4"/>
  <c r="AK91" i="4"/>
  <c r="AK71" i="4"/>
  <c r="AK58" i="4"/>
  <c r="AK41" i="4"/>
  <c r="AK40" i="4"/>
  <c r="AK32" i="4"/>
  <c r="AK82" i="4"/>
  <c r="AK72" i="4"/>
  <c r="AK103" i="4"/>
  <c r="AK98" i="4"/>
  <c r="AK63" i="4"/>
  <c r="AK55" i="4"/>
  <c r="AK52" i="4"/>
  <c r="AK39" i="4"/>
  <c r="AK26" i="4"/>
  <c r="AK49" i="4"/>
  <c r="AK12" i="4"/>
  <c r="AK59" i="4"/>
  <c r="AK47" i="4"/>
  <c r="AK50" i="4"/>
  <c r="AK24" i="4"/>
  <c r="AK33" i="4"/>
  <c r="AK31" i="4"/>
  <c r="AK30" i="4"/>
  <c r="AK20" i="4"/>
  <c r="AK17" i="4"/>
  <c r="AK60" i="4"/>
  <c r="AK35" i="4"/>
  <c r="AK48" i="4"/>
  <c r="AK46" i="4"/>
  <c r="AK25" i="4"/>
  <c r="AK19" i="4"/>
  <c r="AK18" i="4"/>
  <c r="AK16" i="4"/>
  <c r="AK15" i="4"/>
  <c r="AK61" i="4"/>
  <c r="AK53" i="4"/>
  <c r="AK22" i="4"/>
  <c r="AK38" i="4"/>
  <c r="AK29" i="4"/>
  <c r="AK87" i="4"/>
  <c r="AK36" i="4"/>
  <c r="AK77" i="4"/>
  <c r="AK43" i="4"/>
  <c r="AK90" i="4"/>
  <c r="AK85" i="4"/>
  <c r="AK73" i="4"/>
  <c r="AK54" i="4"/>
  <c r="AK34" i="4"/>
  <c r="AK27" i="4"/>
  <c r="AK23" i="4"/>
  <c r="AK11" i="4"/>
  <c r="AK21" i="4"/>
  <c r="AK37" i="4"/>
  <c r="AL10" i="4"/>
  <c r="AK28" i="4"/>
  <c r="AK120" i="4"/>
  <c r="AK51" i="4"/>
  <c r="AK44" i="4"/>
  <c r="AK14" i="4"/>
  <c r="AK13" i="4"/>
  <c r="AL165" i="4" l="1"/>
  <c r="AL157" i="4"/>
  <c r="AL149" i="4"/>
  <c r="AL141" i="4"/>
  <c r="AL133" i="4"/>
  <c r="AL125" i="4"/>
  <c r="AL117" i="4"/>
  <c r="AL138" i="4"/>
  <c r="AL131" i="4"/>
  <c r="AL124" i="4"/>
  <c r="AL104" i="4"/>
  <c r="AL152" i="4"/>
  <c r="AL130" i="4"/>
  <c r="AL123" i="4"/>
  <c r="AL158" i="4"/>
  <c r="AL147" i="4"/>
  <c r="AL105" i="4"/>
  <c r="AL159" i="4"/>
  <c r="AL148" i="4"/>
  <c r="AL129" i="4"/>
  <c r="AL128" i="4"/>
  <c r="AL127" i="4"/>
  <c r="AL109" i="4"/>
  <c r="AL100" i="4"/>
  <c r="AL96" i="4"/>
  <c r="AL81" i="4"/>
  <c r="AL151" i="4"/>
  <c r="AL150" i="4"/>
  <c r="AL113" i="4"/>
  <c r="AL86" i="4"/>
  <c r="AL160" i="4"/>
  <c r="AL132" i="4"/>
  <c r="AL121" i="4"/>
  <c r="AL120" i="4"/>
  <c r="AL108" i="4"/>
  <c r="AL161" i="4"/>
  <c r="AL153" i="4"/>
  <c r="AL135" i="4"/>
  <c r="AL134" i="4"/>
  <c r="AL143" i="4"/>
  <c r="AL142" i="4"/>
  <c r="AL146" i="4"/>
  <c r="AL126" i="4"/>
  <c r="AL112" i="4"/>
  <c r="AL111" i="4"/>
  <c r="AL83" i="4"/>
  <c r="AL75" i="4"/>
  <c r="AL67" i="4"/>
  <c r="AL118" i="4"/>
  <c r="AL164" i="4"/>
  <c r="AL119" i="4"/>
  <c r="AL98" i="4"/>
  <c r="AL97" i="4"/>
  <c r="AL95" i="4"/>
  <c r="AL94" i="4"/>
  <c r="AL92" i="4"/>
  <c r="AL91" i="4"/>
  <c r="AL82" i="4"/>
  <c r="AL69" i="4"/>
  <c r="AL154" i="4"/>
  <c r="AL122" i="4"/>
  <c r="AL88" i="4"/>
  <c r="AL87" i="4"/>
  <c r="AL59" i="4"/>
  <c r="AL53" i="4"/>
  <c r="AL48" i="4"/>
  <c r="AL162" i="4"/>
  <c r="AL144" i="4"/>
  <c r="AL89" i="4"/>
  <c r="AL114" i="4"/>
  <c r="AL101" i="4"/>
  <c r="AL90" i="4"/>
  <c r="AL73" i="4"/>
  <c r="AL55" i="4"/>
  <c r="AL166" i="4"/>
  <c r="AL136" i="4"/>
  <c r="AL163" i="4"/>
  <c r="AL107" i="4"/>
  <c r="AL102" i="4"/>
  <c r="AL61" i="4"/>
  <c r="AL52" i="4"/>
  <c r="AL115" i="4"/>
  <c r="AL93" i="4"/>
  <c r="AL106" i="4"/>
  <c r="AL139" i="4"/>
  <c r="AL116" i="4"/>
  <c r="AL54" i="4"/>
  <c r="AL79" i="4"/>
  <c r="AL66" i="4"/>
  <c r="AL65" i="4"/>
  <c r="AL64" i="4"/>
  <c r="AL156" i="4"/>
  <c r="AL99" i="4"/>
  <c r="AL84" i="4"/>
  <c r="AL63" i="4"/>
  <c r="AL49" i="4"/>
  <c r="AL36" i="4"/>
  <c r="AL77" i="4"/>
  <c r="AL74" i="4"/>
  <c r="AL33" i="4"/>
  <c r="AL110" i="4"/>
  <c r="AL70" i="4"/>
  <c r="AL57" i="4"/>
  <c r="AL42" i="4"/>
  <c r="AL30" i="4"/>
  <c r="AL71" i="4"/>
  <c r="AL58" i="4"/>
  <c r="AL41" i="4"/>
  <c r="AL78" i="4"/>
  <c r="AL40" i="4"/>
  <c r="AL32" i="4"/>
  <c r="AL72" i="4"/>
  <c r="AL60" i="4"/>
  <c r="AL145" i="4"/>
  <c r="AL140" i="4"/>
  <c r="AL44" i="4"/>
  <c r="AL56" i="4"/>
  <c r="AL103" i="4"/>
  <c r="AL25" i="4"/>
  <c r="AL21" i="4"/>
  <c r="AL47" i="4"/>
  <c r="AL50" i="4"/>
  <c r="AL24" i="4"/>
  <c r="AL155" i="4"/>
  <c r="AL137" i="4"/>
  <c r="AL80" i="4"/>
  <c r="AL45" i="4"/>
  <c r="AL29" i="4"/>
  <c r="AL23" i="4"/>
  <c r="AL14" i="4"/>
  <c r="AL11" i="4"/>
  <c r="AL62" i="4"/>
  <c r="AL51" i="4"/>
  <c r="AL28" i="4"/>
  <c r="AL68" i="4"/>
  <c r="AL38" i="4"/>
  <c r="AL22" i="4"/>
  <c r="AL20" i="4"/>
  <c r="AL43" i="4"/>
  <c r="AL85" i="4"/>
  <c r="AL34" i="4"/>
  <c r="AL27" i="4"/>
  <c r="AL39" i="4"/>
  <c r="AL76" i="4"/>
  <c r="AL31" i="4"/>
  <c r="AL13" i="4"/>
  <c r="AL37" i="4"/>
  <c r="AL35" i="4"/>
  <c r="AL26" i="4"/>
  <c r="AL46" i="4"/>
  <c r="AL19" i="4"/>
  <c r="AL18" i="4"/>
  <c r="AL17" i="4"/>
  <c r="AL16" i="4"/>
  <c r="AL15" i="4"/>
  <c r="AL1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Vannier Harnoys, Brendan</author>
    <author>Saveikyte, Sandra</author>
    <author>Harnoys Vannier, Brendan</author>
    <author>tc={2142AC8A-0400-430F-8714-B2D796BCEC3C}</author>
  </authors>
  <commentList>
    <comment ref="N1" authorId="0" shapeId="0" xr:uid="{64A0FE7F-57FA-4118-AF9F-F979CB6D5246}">
      <text>
        <r>
          <rPr>
            <b/>
            <sz val="9"/>
            <color indexed="81"/>
            <rFont val="Tahoma"/>
            <family val="2"/>
          </rPr>
          <t>Vannier Harnoys, Brendan:</t>
        </r>
        <r>
          <rPr>
            <sz val="9"/>
            <color indexed="81"/>
            <rFont val="Tahoma"/>
            <family val="2"/>
          </rPr>
          <t xml:space="preserve">
Considered IMF disbursements from ECF/EFF/SBA/SCF that were associated with program arranged between 2005 and 2024.
For example if a program lead to the disbursement of flows in 2006 but the program was arranged in 2003, said program was not counted</t>
        </r>
      </text>
    </comment>
    <comment ref="P1" authorId="1" shapeId="0" xr:uid="{4130DC0F-4D12-45D6-BA35-7DF27522A3E1}">
      <text>
        <r>
          <rPr>
            <b/>
            <sz val="9"/>
            <color indexed="81"/>
            <rFont val="Tahoma"/>
            <family val="2"/>
          </rPr>
          <t>Saveikyte, Sandra:</t>
        </r>
        <r>
          <rPr>
            <sz val="9"/>
            <color indexed="81"/>
            <rFont val="Tahoma"/>
            <family val="2"/>
          </rPr>
          <t xml:space="preserve">
Had an arrangement for at least 7 consecutive years.</t>
        </r>
      </text>
    </comment>
    <comment ref="R1" authorId="0" shapeId="0" xr:uid="{C00A0218-368C-4EFF-9AEF-145D7ECE6C61}">
      <text>
        <r>
          <rPr>
            <b/>
            <sz val="9"/>
            <color indexed="81"/>
            <rFont val="Tahoma"/>
            <family val="2"/>
          </rPr>
          <t>Vannier Harnoys, Brendan:</t>
        </r>
        <r>
          <rPr>
            <sz val="9"/>
            <color indexed="81"/>
            <rFont val="Tahoma"/>
            <family val="2"/>
          </rPr>
          <t xml:space="preserve">
2 is for HIPC countries that have not reached completion point as of Oct. 2024</t>
        </r>
      </text>
    </comment>
    <comment ref="S1" authorId="0" shapeId="0" xr:uid="{E9C5F41E-40B0-4F0C-86D2-89FCAC2F9B8C}">
      <text>
        <r>
          <rPr>
            <b/>
            <sz val="9"/>
            <color indexed="81"/>
            <rFont val="Tahoma"/>
            <family val="2"/>
          </rPr>
          <t>Vannier Harnoys, Brendan:</t>
        </r>
        <r>
          <rPr>
            <sz val="9"/>
            <color indexed="81"/>
            <rFont val="Tahoma"/>
            <family val="2"/>
          </rPr>
          <t xml:space="preserve">
* indicates whether the completion point refers to an enhanced framework instead of the original one</t>
        </r>
      </text>
    </comment>
    <comment ref="X1" authorId="0" shapeId="0" xr:uid="{EC4721F1-4EA7-45D3-937B-FE91C42E071D}">
      <text>
        <r>
          <rPr>
            <b/>
            <sz val="9"/>
            <color indexed="81"/>
            <rFont val="Tahoma"/>
            <family val="2"/>
          </rPr>
          <t>Vannier Harnoys, Brendan:</t>
        </r>
        <r>
          <rPr>
            <sz val="9"/>
            <color indexed="81"/>
            <rFont val="Tahoma"/>
            <family val="2"/>
          </rPr>
          <t xml:space="preserve">
1 = Lowest Income (no access to blending)
2B = Higher Income Non-presumed Blenders (With Debt Vulnerabilities)
2A = Higher Income Presumed Blenders (No Debt Vulnerabilities)</t>
        </r>
      </text>
    </comment>
    <comment ref="Y1" authorId="1" shapeId="0" xr:uid="{22AD75FD-08E0-45B2-B006-F62576F0F3D8}">
      <text>
        <r>
          <rPr>
            <b/>
            <sz val="9"/>
            <color indexed="81"/>
            <rFont val="Tahoma"/>
            <family val="2"/>
          </rPr>
          <t>Saveikyte, Sandra:</t>
        </r>
        <r>
          <rPr>
            <sz val="9"/>
            <color indexed="81"/>
            <rFont val="Tahoma"/>
            <family val="2"/>
          </rPr>
          <t xml:space="preserve">
1 - poorest LICs, GNI per capita at or below IDA cutoff 100 percent (USD 1,335 = 100 percent)
2 - GNI per capita between 100 and 150 percent (inclusive) IDA cutoff
3 - GNI per capita between 150 and 300 percent (inclusive) IDA cutoff
4 - GNI per capit above 300 percent IDA cutoff
</t>
        </r>
      </text>
    </comment>
    <comment ref="AL1" authorId="1" shapeId="0" xr:uid="{34F691E3-EB5C-44E1-AF3C-A0FF710FB702}">
      <text>
        <r>
          <rPr>
            <b/>
            <sz val="9"/>
            <color indexed="81"/>
            <rFont val="Tahoma"/>
            <family val="2"/>
          </rPr>
          <t>Saveikyte, Sandra:</t>
        </r>
        <r>
          <rPr>
            <sz val="9"/>
            <color indexed="81"/>
            <rFont val="Tahoma"/>
            <family val="2"/>
          </rPr>
          <t xml:space="preserve">
cells colored in green fall below the average, celles colored in red fall above the average </t>
        </r>
      </text>
    </comment>
    <comment ref="AM1" authorId="1" shapeId="0" xr:uid="{0BE9FE50-61D6-4E13-B0AB-22F074BA4121}">
      <text>
        <r>
          <rPr>
            <b/>
            <sz val="9"/>
            <color indexed="81"/>
            <rFont val="Tahoma"/>
            <family val="2"/>
          </rPr>
          <t>Saveikyte, Sandra:</t>
        </r>
        <r>
          <rPr>
            <sz val="9"/>
            <color indexed="81"/>
            <rFont val="Tahoma"/>
            <family val="2"/>
          </rPr>
          <t xml:space="preserve">
Cells in red are greater than 0</t>
        </r>
      </text>
    </comment>
    <comment ref="AS1" authorId="2" shapeId="0" xr:uid="{A99CF056-5F00-4767-8DA2-CFC9B19677D9}">
      <text>
        <r>
          <rPr>
            <sz val="10"/>
            <color theme="1"/>
            <rFont val="Arial"/>
            <family val="2"/>
          </rPr>
          <t xml:space="preserve">Ha- rnoys Vannier, Brendan:
- "decrease" relates to negative change
- "remained ..." relates to positive changes below 5% (Q1)
- "increase' relates to positive changes below 17.9% (Q2)
- large increase relates to positive changes below 29.1% (Q3)
- "huge increase" relates to changes above 29.1%
</t>
        </r>
      </text>
    </comment>
    <comment ref="AB56" authorId="0" shapeId="0" xr:uid="{AF4988B6-45D5-4BDB-937A-706D883BDF9C}">
      <text>
        <r>
          <rPr>
            <sz val="10"/>
            <color theme="1"/>
            <rFont val="Arial"/>
            <family val="2"/>
          </rPr>
          <t>Vannier Harnoys, Brendan:
Saint Lucia undergoes the SRDSF</t>
        </r>
      </text>
    </comment>
    <comment ref="BN70" authorId="3" shapeId="0" xr:uid="{2142AC8A-0400-430F-8714-B2D796BCEC3C}">
      <text>
        <t>[Threaded comment]
Your version of Excel allows you to read this threaded comment; however, any edits to it will get removed if the file is opened in a newer version of Excel. Learn more: https://go.microsoft.com/fwlink/?linkid=870924
Comment:
    The program is expected to conclude in October 2025. Might be included in BP3 depending on the evaluation cutoff date for program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Vannier Harnoys, Brendan</author>
    <author>Saveikyte, Sandra</author>
    <author>Harnoys Vannier, Brendan</author>
  </authors>
  <commentList>
    <comment ref="M1" authorId="0" shapeId="0" xr:uid="{63811F77-791B-46C7-8513-FF0D286EABC4}">
      <text>
        <r>
          <rPr>
            <b/>
            <sz val="9"/>
            <color indexed="81"/>
            <rFont val="Tahoma"/>
            <family val="2"/>
          </rPr>
          <t>Vannier Harnoys, Brendan:</t>
        </r>
        <r>
          <rPr>
            <sz val="9"/>
            <color indexed="81"/>
            <rFont val="Tahoma"/>
            <family val="2"/>
          </rPr>
          <t xml:space="preserve">
Considered IMF disbursements from ECF/EFF/SBA/SCF that were associated with program arranged between 2005 and 2024.
For example if a program lead to the disbursement of flows in 2006 but the program was arranged in 2003, said program was not counted</t>
        </r>
      </text>
    </comment>
    <comment ref="O1" authorId="1" shapeId="0" xr:uid="{6255945B-6C9C-4CF4-95BB-5E33888B94A7}">
      <text>
        <r>
          <rPr>
            <b/>
            <sz val="9"/>
            <color indexed="81"/>
            <rFont val="Tahoma"/>
            <family val="2"/>
          </rPr>
          <t>Saveikyte, Sandra:</t>
        </r>
        <r>
          <rPr>
            <sz val="9"/>
            <color indexed="81"/>
            <rFont val="Tahoma"/>
            <family val="2"/>
          </rPr>
          <t xml:space="preserve">
Had an arrangement for at least 7 consecutive years.</t>
        </r>
      </text>
    </comment>
    <comment ref="Q1" authorId="0" shapeId="0" xr:uid="{09984A4B-A7E9-422B-8389-DEED16E8FCDE}">
      <text>
        <r>
          <rPr>
            <b/>
            <sz val="9"/>
            <color indexed="81"/>
            <rFont val="Tahoma"/>
            <family val="2"/>
          </rPr>
          <t>Vannier Harnoys, Brendan:</t>
        </r>
        <r>
          <rPr>
            <sz val="9"/>
            <color indexed="81"/>
            <rFont val="Tahoma"/>
            <family val="2"/>
          </rPr>
          <t xml:space="preserve">
2 is for HIPC countries that have not reached completion point as of Oct. 2024</t>
        </r>
      </text>
    </comment>
    <comment ref="R1" authorId="0" shapeId="0" xr:uid="{EECA0D47-B83A-4371-B3DB-EABB9239E1D4}">
      <text>
        <r>
          <rPr>
            <b/>
            <sz val="9"/>
            <color indexed="81"/>
            <rFont val="Tahoma"/>
            <family val="2"/>
          </rPr>
          <t>Vannier Harnoys, Brendan:</t>
        </r>
        <r>
          <rPr>
            <sz val="9"/>
            <color indexed="81"/>
            <rFont val="Tahoma"/>
            <family val="2"/>
          </rPr>
          <t xml:space="preserve">
* indicates whether the completion point refers to an enhanced framework instead of the original one</t>
        </r>
      </text>
    </comment>
    <comment ref="W1" authorId="0" shapeId="0" xr:uid="{10026D17-4A65-4619-B836-88B8C64B6D7E}">
      <text>
        <r>
          <rPr>
            <b/>
            <sz val="9"/>
            <color indexed="81"/>
            <rFont val="Tahoma"/>
            <family val="2"/>
          </rPr>
          <t>Vannier Harnoys, Brendan:</t>
        </r>
        <r>
          <rPr>
            <sz val="9"/>
            <color indexed="81"/>
            <rFont val="Tahoma"/>
            <family val="2"/>
          </rPr>
          <t xml:space="preserve">
1 = Lowest Income (no access to blending)
2B = Higher Income Non-presumed Blenders (With Debt Vulnerabilities)
2A = Higher Income Presumed Blenders (No Debt Vulnerabilities)</t>
        </r>
      </text>
    </comment>
    <comment ref="X1" authorId="1" shapeId="0" xr:uid="{85A1EF1B-7D6D-4CDC-B3BF-3FCC2148E9FE}">
      <text>
        <r>
          <rPr>
            <b/>
            <sz val="9"/>
            <color indexed="81"/>
            <rFont val="Tahoma"/>
            <family val="2"/>
          </rPr>
          <t>Saveikyte, Sandra:</t>
        </r>
        <r>
          <rPr>
            <sz val="9"/>
            <color indexed="81"/>
            <rFont val="Tahoma"/>
            <family val="2"/>
          </rPr>
          <t xml:space="preserve">
1 - poorest LICs, GNI per capita at or below IDA cutoff 100 percent (USD 1,335 = 100 percent)
2 - GNI per capita between 100 and 150 percent (inclusive) IDA cutoff
3 - GNI per capita between 150 and 300 percent (inclusive) IDA cutoff
4 - GNI per capit above 300 percent IDA cutoff
</t>
        </r>
      </text>
    </comment>
    <comment ref="AK1" authorId="1" shapeId="0" xr:uid="{1AD9B385-3148-40F8-9B23-F20E4884E04C}">
      <text>
        <r>
          <rPr>
            <b/>
            <sz val="9"/>
            <color indexed="81"/>
            <rFont val="Tahoma"/>
            <family val="2"/>
          </rPr>
          <t>Saveikyte, Sandra:</t>
        </r>
        <r>
          <rPr>
            <sz val="9"/>
            <color indexed="81"/>
            <rFont val="Tahoma"/>
            <family val="2"/>
          </rPr>
          <t xml:space="preserve">
cells colored in green fall below the average, celles colored in red fall above the average </t>
        </r>
      </text>
    </comment>
    <comment ref="AL1" authorId="1" shapeId="0" xr:uid="{677AA4E5-23F4-4867-901F-4712F49547AA}">
      <text>
        <r>
          <rPr>
            <b/>
            <sz val="9"/>
            <color indexed="81"/>
            <rFont val="Tahoma"/>
            <family val="2"/>
          </rPr>
          <t>Saveikyte, Sandra:</t>
        </r>
        <r>
          <rPr>
            <sz val="9"/>
            <color indexed="81"/>
            <rFont val="Tahoma"/>
            <family val="2"/>
          </rPr>
          <t xml:space="preserve">
Cells in red are greater than 0</t>
        </r>
      </text>
    </comment>
    <comment ref="AR1" authorId="2" shapeId="0" xr:uid="{3DE5BC7B-4969-4AF1-83CF-D8C18CB61585}">
      <text>
        <r>
          <rPr>
            <sz val="10"/>
            <color theme="1"/>
            <rFont val="Arial"/>
            <family val="2"/>
          </rPr>
          <t xml:space="preserve">Ha- rnoys Vannier, Brendan:
- "decrease" relates to negative change
- "remained ..." relates to positive changes below 5% (Q1)
- "increase' relates to positive changes below 17.9% (Q2)
- large increase relates to positive changes below 29.1% (Q3)
- "huge increase" relates to changes above 29.1%
</t>
        </r>
      </text>
    </comment>
    <comment ref="AA56" authorId="0" shapeId="0" xr:uid="{481EF37C-90C1-4ED4-90B5-32D3AEDD968B}">
      <text>
        <r>
          <rPr>
            <sz val="10"/>
            <color theme="1"/>
            <rFont val="Arial"/>
            <family val="2"/>
          </rPr>
          <t>Vannier Harnoys, Brendan:
Saint Lucia undergoes the SRDSF</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<sst xmlns="http://schemas.openxmlformats.org/spreadsheetml/2006/main" count="7349" uniqueCount="458">
  <si>
    <t>IFS</t>
  </si>
  <si>
    <t>Country Name</t>
  </si>
  <si>
    <t>Focus Group</t>
  </si>
  <si>
    <t>LIDC</t>
  </si>
  <si>
    <t>Region</t>
  </si>
  <si>
    <t>Monetary Union</t>
  </si>
  <si>
    <t>CEx</t>
  </si>
  <si>
    <t>FCS</t>
  </si>
  <si>
    <t>SDS</t>
  </si>
  <si>
    <t>Debt rule in place (2021)</t>
  </si>
  <si>
    <t>Fiscal rule in place (other than debt rule, 2021)</t>
  </si>
  <si>
    <t>Had Program (PRGT, UCT)</t>
  </si>
  <si>
    <t>Has Ongoing Program (PRGT, UCT)</t>
  </si>
  <si>
    <t>Nb Program 05:24 (PRGT, UCT)</t>
  </si>
  <si>
    <t>Had Multiple Programs (PRGT, UCT)</t>
  </si>
  <si>
    <t>Repeated Programs (7/10) (PRGT, UCT)</t>
  </si>
  <si>
    <t>RST</t>
  </si>
  <si>
    <t>HIPC</t>
  </si>
  <si>
    <t>HIPC Completion Date</t>
  </si>
  <si>
    <t>DR (post-HIPC)</t>
  </si>
  <si>
    <t>DSSI Eligible &amp; Participant</t>
  </si>
  <si>
    <t>DSSI Eligible &amp; Non Participant</t>
  </si>
  <si>
    <t>Frontier Markets</t>
  </si>
  <si>
    <t>PRGT Lending Tiers</t>
  </si>
  <si>
    <t xml:space="preserve">LIC Classification by Income </t>
  </si>
  <si>
    <t>DSA Rating in 2005:07</t>
  </si>
  <si>
    <t>DSA Rating post HIPC if completion date after 2005</t>
  </si>
  <si>
    <t>Latest DSA Rating - External Debt Distress</t>
  </si>
  <si>
    <t>Latest DSA Rating - Overall Debt Distress</t>
  </si>
  <si>
    <t>Date of Last DSA</t>
  </si>
  <si>
    <t>Had "In debt distress" rating post HIPC/2005</t>
  </si>
  <si>
    <t>Risk rating evolution</t>
  </si>
  <si>
    <t>2012/13 DCC</t>
  </si>
  <si>
    <t>2012 CPIA</t>
  </si>
  <si>
    <t>Latest DCC</t>
  </si>
  <si>
    <t>2023 CPIA</t>
  </si>
  <si>
    <t>DCC evolution</t>
  </si>
  <si>
    <t>SoE's debt coverage (average used value in LIC-DSF, 2013-2024, default = 2)</t>
  </si>
  <si>
    <t>PPP debt coverage (average used value in LIC-DSF, 2013-2024, default = 35)</t>
  </si>
  <si>
    <t>Share of Domestic Debt (2005)</t>
  </si>
  <si>
    <t>Share of Domestic Debt (2023)</t>
  </si>
  <si>
    <t>Domestic Debt Exposure (2005), Quartile</t>
  </si>
  <si>
    <t>Domestic Debt Exposure (2023), Quartile</t>
  </si>
  <si>
    <t>Change 2005/2023</t>
  </si>
  <si>
    <t>Domestic Debt Exposure evolution</t>
  </si>
  <si>
    <t>First Creditor on LT External Debt</t>
  </si>
  <si>
    <t>Exposure to China above median (10.4%)</t>
  </si>
  <si>
    <t>Average Share External Debt to China 2014:23</t>
  </si>
  <si>
    <t>Average Share External Debt to Private 2014:23</t>
  </si>
  <si>
    <t>Average Share External Debt to Bilat (excl CHN) 2014:24</t>
  </si>
  <si>
    <t>Average Share External Debt to WB 2014:25</t>
  </si>
  <si>
    <t>Average Share External Debt to TDB 2014:26</t>
  </si>
  <si>
    <t>Average Share External Debt to other Multi 2014:27</t>
  </si>
  <si>
    <t>Liquidity (INT/X) 2005</t>
  </si>
  <si>
    <t>Liquidity (INT/REV) 2005</t>
  </si>
  <si>
    <t>Liquidity (INT/X) 2024</t>
  </si>
  <si>
    <t>Liquidity (INT/REV) 2024</t>
  </si>
  <si>
    <t>Liquidity Exposure (INT/REV) 2005, Quartile</t>
  </si>
  <si>
    <t>Liquidity Exposure (INT/REV) 2024, Quartile</t>
  </si>
  <si>
    <t>Liquidity Exposure (INT/X) 2005, Quartile</t>
  </si>
  <si>
    <t>Liquidity Exposure (INT/X) 2024, Quartile</t>
  </si>
  <si>
    <t>Liquidity risk evolution</t>
  </si>
  <si>
    <t>Comments</t>
  </si>
  <si>
    <t>BP1</t>
  </si>
  <si>
    <t>BP2</t>
  </si>
  <si>
    <t>BP3</t>
  </si>
  <si>
    <t>BP4</t>
  </si>
  <si>
    <t>BP5</t>
  </si>
  <si>
    <t xml:space="preserve">Afghanistan, Islamic Republic of </t>
  </si>
  <si>
    <t>MCD</t>
  </si>
  <si>
    <t>High</t>
  </si>
  <si>
    <t>06/21</t>
  </si>
  <si>
    <t>0</t>
  </si>
  <si>
    <t>constant - high</t>
  </si>
  <si>
    <t>Weak</t>
  </si>
  <si>
    <t>constant</t>
  </si>
  <si>
    <t>na</t>
  </si>
  <si>
    <t>Bilaterals</t>
  </si>
  <si>
    <t>Bangladesh</t>
  </si>
  <si>
    <t>APD</t>
  </si>
  <si>
    <t>2A</t>
  </si>
  <si>
    <t>Low</t>
  </si>
  <si>
    <t>06/24</t>
  </si>
  <si>
    <t>constant - low</t>
  </si>
  <si>
    <t>Medium</t>
  </si>
  <si>
    <t>increase</t>
  </si>
  <si>
    <t>Multilaterals</t>
  </si>
  <si>
    <t>remained high</t>
  </si>
  <si>
    <t>Benin</t>
  </si>
  <si>
    <t>AFR</t>
  </si>
  <si>
    <t>WEAMU</t>
  </si>
  <si>
    <t>Moderate</t>
  </si>
  <si>
    <t>12/24</t>
  </si>
  <si>
    <t>constant - mod</t>
  </si>
  <si>
    <t>large increase</t>
  </si>
  <si>
    <t>deteriorated</t>
  </si>
  <si>
    <t>Bhutan</t>
  </si>
  <si>
    <t>09/24</t>
  </si>
  <si>
    <t>Strong</t>
  </si>
  <si>
    <t>remained small</t>
  </si>
  <si>
    <t>remained limited</t>
  </si>
  <si>
    <t>Burkina Faso</t>
  </si>
  <si>
    <t>2002*</t>
  </si>
  <si>
    <t>deterioration</t>
  </si>
  <si>
    <t>huge increase</t>
  </si>
  <si>
    <t>slightly deteriorated</t>
  </si>
  <si>
    <t>Burundi</t>
  </si>
  <si>
    <t>EAMU</t>
  </si>
  <si>
    <t>06/23</t>
  </si>
  <si>
    <t>Cabo Verde</t>
  </si>
  <si>
    <t>12/23</t>
  </si>
  <si>
    <t>deteriorating</t>
  </si>
  <si>
    <t>decrease</t>
  </si>
  <si>
    <t>remained important</t>
  </si>
  <si>
    <t>Cambodia</t>
  </si>
  <si>
    <t>ameliorating</t>
  </si>
  <si>
    <t>China</t>
  </si>
  <si>
    <t>Cameroon</t>
  </si>
  <si>
    <t>CEMAC</t>
  </si>
  <si>
    <t>01/24</t>
  </si>
  <si>
    <t>Central African Republic</t>
  </si>
  <si>
    <t>Chad</t>
  </si>
  <si>
    <t>12/22</t>
  </si>
  <si>
    <t>1</t>
  </si>
  <si>
    <t>Private C.</t>
  </si>
  <si>
    <t>Comoros</t>
  </si>
  <si>
    <t>2B</t>
  </si>
  <si>
    <t>In debt distress</t>
  </si>
  <si>
    <t>HIgh</t>
  </si>
  <si>
    <t>amelioration</t>
  </si>
  <si>
    <t>ameliorated</t>
  </si>
  <si>
    <t>Congo, Democratic Republic of</t>
  </si>
  <si>
    <t>07/24</t>
  </si>
  <si>
    <t xml:space="preserve">Congo, Republic of </t>
  </si>
  <si>
    <t>Cote d'Ivoire</t>
  </si>
  <si>
    <t>Djibouti</t>
  </si>
  <si>
    <t>03/24</t>
  </si>
  <si>
    <t>Dominica</t>
  </si>
  <si>
    <t>WHD</t>
  </si>
  <si>
    <t>ECCU</t>
  </si>
  <si>
    <t>05/24</t>
  </si>
  <si>
    <t>Eritrea</t>
  </si>
  <si>
    <t>--</t>
  </si>
  <si>
    <t>Ethiopia</t>
  </si>
  <si>
    <t>mentioned in interviews</t>
  </si>
  <si>
    <t>Gambia, The</t>
  </si>
  <si>
    <t>Ghana</t>
  </si>
  <si>
    <t>11/24</t>
  </si>
  <si>
    <t>Grenada</t>
  </si>
  <si>
    <t>Guinea</t>
  </si>
  <si>
    <t>Guinea-Bissau</t>
  </si>
  <si>
    <t>Haiti</t>
  </si>
  <si>
    <t>Honduras</t>
  </si>
  <si>
    <t>Kenya</t>
  </si>
  <si>
    <t>10/24</t>
  </si>
  <si>
    <t>Kiribati</t>
  </si>
  <si>
    <t>04/24</t>
  </si>
  <si>
    <t>Kyrgyz Republic</t>
  </si>
  <si>
    <t>02/24</t>
  </si>
  <si>
    <t>Lao P.D.R.</t>
  </si>
  <si>
    <t>Lesotho</t>
  </si>
  <si>
    <t>Liberia</t>
  </si>
  <si>
    <t>Madagascar</t>
  </si>
  <si>
    <t>Malawi</t>
  </si>
  <si>
    <t>11/23</t>
  </si>
  <si>
    <t>Maldives</t>
  </si>
  <si>
    <t>Mali</t>
  </si>
  <si>
    <t>2003*</t>
  </si>
  <si>
    <t>05/23</t>
  </si>
  <si>
    <t>Marshall Islands</t>
  </si>
  <si>
    <t>09/23</t>
  </si>
  <si>
    <t>Mauritania</t>
  </si>
  <si>
    <t>Micronesia, Federal States of</t>
  </si>
  <si>
    <t>Moldova</t>
  </si>
  <si>
    <t>EUR</t>
  </si>
  <si>
    <t>Mozambique</t>
  </si>
  <si>
    <t>2001*</t>
  </si>
  <si>
    <t>Myanmar</t>
  </si>
  <si>
    <t>01/21</t>
  </si>
  <si>
    <t>Nepal</t>
  </si>
  <si>
    <t>Nicaragua</t>
  </si>
  <si>
    <t>01/25</t>
  </si>
  <si>
    <t>Niger</t>
  </si>
  <si>
    <t>Papua New Guinea</t>
  </si>
  <si>
    <t>Rwanda</t>
  </si>
  <si>
    <t>amel./deter.</t>
  </si>
  <si>
    <t>Samoa</t>
  </si>
  <si>
    <t>Sao Tome and Principe</t>
  </si>
  <si>
    <t>Senegal</t>
  </si>
  <si>
    <t>Sierra Leone</t>
  </si>
  <si>
    <t>Solomon Islands</t>
  </si>
  <si>
    <t>Somalia</t>
  </si>
  <si>
    <t>South Sudan</t>
  </si>
  <si>
    <t>St. Lucia</t>
  </si>
  <si>
    <t>03/25</t>
  </si>
  <si>
    <t>St. Vincent and the Grenadines</t>
  </si>
  <si>
    <t>Sudan</t>
  </si>
  <si>
    <t>constant - idd</t>
  </si>
  <si>
    <t>Syria</t>
  </si>
  <si>
    <t>Tajikistan</t>
  </si>
  <si>
    <t>Tanzania</t>
  </si>
  <si>
    <t>Timor-Leste, Democratic republic of</t>
  </si>
  <si>
    <t>Togo</t>
  </si>
  <si>
    <t>Tonga</t>
  </si>
  <si>
    <t>Tuvalu</t>
  </si>
  <si>
    <t>07/23</t>
  </si>
  <si>
    <t>Uganda</t>
  </si>
  <si>
    <t>2000*</t>
  </si>
  <si>
    <t>Uzbekistan</t>
  </si>
  <si>
    <t>Vanuatu</t>
  </si>
  <si>
    <t>08/24</t>
  </si>
  <si>
    <t>Yemen</t>
  </si>
  <si>
    <t>Zambia</t>
  </si>
  <si>
    <t>Zimbabwe</t>
  </si>
  <si>
    <t>Notes (column definitions):</t>
  </si>
  <si>
    <t>LIC Classification by Income</t>
  </si>
  <si>
    <t>1 - poorest LICs, GNI per capita at or below IDA cutoff 100 percent (USD 1,335 = 100 percent), 2 - GNI per capita between 100 and 150 percent (inclusive) IDA cutoff, 3 - GNI per capita between 150 and 300 percent (inclusive) IDA cutoff, 4 - GNI per capit above 300 percent IDA cutoff</t>
  </si>
  <si>
    <t>Nb Program 05:24:</t>
  </si>
  <si>
    <t>Considered IMF disbursements from ECF/EFF/SBA/SCF that were associated with program arranged between 2005 and 2024. For example if a program lead to the disbursement of flows in 2006 but the program was arranged in 2003, said program was not counted.</t>
  </si>
  <si>
    <t>Repeated Programs (7/10):</t>
  </si>
  <si>
    <t>Had an arrangement for at least 7 consecutive years.</t>
  </si>
  <si>
    <t>HIPC:</t>
  </si>
  <si>
    <t>1 = HIPC country, 2 = HIPC country that has not reached completion point as of Oct. 2024 (Eritrea and Sudan are potentially eligible for debt relief but have not yet started the proces).</t>
  </si>
  <si>
    <t>PRGT Lending Tiers:</t>
  </si>
  <si>
    <t>1 = Lowest Income (no access to blending)
2B = Higher Income Non-presumed Blenders (With Debt Vulnerabilities)
2A = Higher Income Presumed Blenders (No Debt Vulnerabilities)</t>
  </si>
  <si>
    <t xml:space="preserve">Underwent CF treatment. </t>
  </si>
  <si>
    <t xml:space="preserve">Countries that are TBD if they can be covered due to non-interference clause. </t>
  </si>
  <si>
    <t>Selection?</t>
  </si>
  <si>
    <t>Country</t>
  </si>
  <si>
    <t>Program User</t>
  </si>
  <si>
    <t>HIPC?</t>
  </si>
  <si>
    <t>DR?</t>
  </si>
  <si>
    <t>DSA evolution</t>
  </si>
  <si>
    <t>Frontier Market</t>
  </si>
  <si>
    <t>First Creditor</t>
  </si>
  <si>
    <t>Share China</t>
  </si>
  <si>
    <t>Share Private</t>
  </si>
  <si>
    <t>Evol. dom debt</t>
  </si>
  <si>
    <t>Share dom. debt</t>
  </si>
  <si>
    <t>BVH</t>
  </si>
  <si>
    <t>JL</t>
  </si>
  <si>
    <t>SS</t>
  </si>
  <si>
    <t>Congo Rep</t>
  </si>
  <si>
    <t>0/1</t>
  </si>
  <si>
    <t>+</t>
  </si>
  <si>
    <t xml:space="preserve"> </t>
  </si>
  <si>
    <t>Lao PDR</t>
  </si>
  <si>
    <t>Kyrgyz Rep.</t>
  </si>
  <si>
    <t>Angola</t>
  </si>
  <si>
    <t>Vietnam</t>
  </si>
  <si>
    <t>Focus List</t>
  </si>
  <si>
    <t>The Gambia</t>
  </si>
  <si>
    <t>Figure. HIPC and the Latest DSA Rating</t>
  </si>
  <si>
    <t xml:space="preserve">Figure. 2012-13 Debt Carrying Capacity and Latest Available </t>
  </si>
  <si>
    <t>Currently not in debt distress
(60)</t>
  </si>
  <si>
    <t>Currently in debt distress
(10)</t>
  </si>
  <si>
    <t>Figure. HIPC and the DSA Rating post-HIPC</t>
  </si>
  <si>
    <t>Low-Moderate  Risk
(32)</t>
  </si>
  <si>
    <t>High Risk
(28)</t>
  </si>
  <si>
    <t>Have not been in debt distress post-HIPC/ since 2005
(55)</t>
  </si>
  <si>
    <t>Have been in debt distress post-HIPC/ since 2005
(15)</t>
  </si>
  <si>
    <t>Weak
(27)</t>
  </si>
  <si>
    <t>Medium
(26)</t>
  </si>
  <si>
    <t>Strong
(11)</t>
  </si>
  <si>
    <t>HIPC Countries
(37)</t>
  </si>
  <si>
    <r>
      <rPr>
        <b/>
        <sz val="15"/>
        <rFont val="Segoe UI"/>
        <family val="2"/>
      </rPr>
      <t>17</t>
    </r>
    <r>
      <rPr>
        <sz val="15"/>
        <rFont val="Segoe UI"/>
        <family val="2"/>
      </rPr>
      <t xml:space="preserve"> (Benin, Burkina Faso, Democratic Republic of Congo, Cote d'Ivoire, Eritrea </t>
    </r>
    <r>
      <rPr>
        <vertAlign val="superscript"/>
        <sz val="15"/>
        <rFont val="Segoe UI"/>
        <family val="2"/>
      </rPr>
      <t>1/ 2/</t>
    </r>
    <r>
      <rPr>
        <sz val="15"/>
        <rFont val="Segoe UI"/>
        <family val="2"/>
      </rPr>
      <t>, Guinea, Honduras, Madagascar, Mali, Mauritania, Nicaragua, Niger, Rwanda, Senegal, Somalia, Tanzania, Uganda)</t>
    </r>
  </si>
  <si>
    <r>
      <rPr>
        <b/>
        <sz val="15"/>
        <rFont val="Segoe UI"/>
        <family val="2"/>
      </rPr>
      <t>14</t>
    </r>
    <r>
      <rPr>
        <sz val="15"/>
        <rFont val="Segoe UI"/>
        <family val="2"/>
      </rPr>
      <t xml:space="preserve"> (Afghanistan, Burundi, Cameroon, Central African Republic, </t>
    </r>
    <r>
      <rPr>
        <sz val="15"/>
        <color rgb="FFFF0000"/>
        <rFont val="Segoe UI"/>
        <family val="2"/>
      </rPr>
      <t>Chad</t>
    </r>
    <r>
      <rPr>
        <sz val="15"/>
        <rFont val="Segoe UI"/>
        <family val="2"/>
      </rPr>
      <t xml:space="preserve">, Comoros, </t>
    </r>
    <r>
      <rPr>
        <sz val="15"/>
        <color rgb="FFFF0000"/>
        <rFont val="Segoe UI"/>
        <family val="2"/>
      </rPr>
      <t>The Gambia</t>
    </r>
    <r>
      <rPr>
        <sz val="15"/>
        <rFont val="Segoe UI"/>
        <family val="2"/>
      </rPr>
      <t xml:space="preserve">, </t>
    </r>
    <r>
      <rPr>
        <sz val="15"/>
        <color rgb="FFFF0000"/>
        <rFont val="Segoe UI"/>
        <family val="2"/>
      </rPr>
      <t>Ghana</t>
    </r>
    <r>
      <rPr>
        <sz val="15"/>
        <rFont val="Segoe UI"/>
        <family val="2"/>
      </rPr>
      <t xml:space="preserve">, Guinea-Bissau, Haiti, Liberia, </t>
    </r>
    <r>
      <rPr>
        <sz val="15"/>
        <color rgb="FFFF0000"/>
        <rFont val="Segoe UI"/>
        <family val="2"/>
      </rPr>
      <t>Mozambique</t>
    </r>
    <r>
      <rPr>
        <sz val="15"/>
        <rFont val="Segoe UI"/>
        <family val="2"/>
      </rPr>
      <t>, Sierra Leone, Togo)</t>
    </r>
  </si>
  <si>
    <r>
      <rPr>
        <b/>
        <sz val="15"/>
        <rFont val="Segoe UI"/>
        <family val="2"/>
      </rPr>
      <t>6</t>
    </r>
    <r>
      <rPr>
        <sz val="15"/>
        <rFont val="Segoe UI"/>
        <family val="2"/>
      </rPr>
      <t xml:space="preserve"> (</t>
    </r>
    <r>
      <rPr>
        <sz val="15"/>
        <color rgb="FFFF0000"/>
        <rFont val="Segoe UI"/>
        <family val="2"/>
      </rPr>
      <t>Republic of Congo</t>
    </r>
    <r>
      <rPr>
        <sz val="15"/>
        <rFont val="Segoe UI"/>
        <family val="2"/>
      </rPr>
      <t xml:space="preserve">, </t>
    </r>
    <r>
      <rPr>
        <sz val="15"/>
        <color rgb="FFFF0000"/>
        <rFont val="Segoe UI"/>
        <family val="2"/>
      </rPr>
      <t>Ethiopia</t>
    </r>
    <r>
      <rPr>
        <sz val="15"/>
        <rFont val="Segoe UI"/>
        <family val="2"/>
      </rPr>
      <t xml:space="preserve">, </t>
    </r>
    <r>
      <rPr>
        <sz val="15"/>
        <color rgb="FFFF0000"/>
        <rFont val="Segoe UI"/>
        <family val="2"/>
      </rPr>
      <t>Malawi</t>
    </r>
    <r>
      <rPr>
        <sz val="15"/>
        <rFont val="Segoe UI"/>
        <family val="2"/>
      </rPr>
      <t>, Sao Tome and Principe, Sudan</t>
    </r>
    <r>
      <rPr>
        <vertAlign val="superscript"/>
        <sz val="15"/>
        <rFont val="Segoe UI"/>
        <family val="2"/>
      </rPr>
      <t>1/</t>
    </r>
    <r>
      <rPr>
        <sz val="15"/>
        <rFont val="Segoe UI"/>
        <family val="2"/>
      </rPr>
      <t>,</t>
    </r>
    <r>
      <rPr>
        <sz val="15"/>
        <color rgb="FFFF0000"/>
        <rFont val="Segoe UI"/>
        <family val="2"/>
      </rPr>
      <t xml:space="preserve"> Zambia</t>
    </r>
    <r>
      <rPr>
        <sz val="15"/>
        <rFont val="Segoe UI"/>
        <family val="2"/>
      </rPr>
      <t>)</t>
    </r>
  </si>
  <si>
    <r>
      <rPr>
        <b/>
        <sz val="15"/>
        <rFont val="Segoe UI"/>
        <family val="2"/>
      </rPr>
      <t>27</t>
    </r>
    <r>
      <rPr>
        <sz val="15"/>
        <rFont val="Segoe UI"/>
        <family val="2"/>
      </rPr>
      <t xml:space="preserve"> (Afghanistan, Benin, Burkina Faso, Burundi, Cameroon, Central African Republic, Comoros, Democratic Republic of Congo, Cote d'Ivoire, Eritrea</t>
    </r>
    <r>
      <rPr>
        <vertAlign val="superscript"/>
        <sz val="15"/>
        <rFont val="Segoe UI"/>
        <family val="2"/>
      </rPr>
      <t>1/2/</t>
    </r>
    <r>
      <rPr>
        <sz val="15"/>
        <rFont val="Segoe UI"/>
        <family val="2"/>
      </rPr>
      <t>, Guinea, Guinea-Bissau, Haiti, Honduras, Liberia, Madagascar, Mali, Mauritania, Nicaragua, Niger, Rwanda, Senegal, Sierra Leone, Somalia, Tanzania, Togo, Uganda)</t>
    </r>
  </si>
  <si>
    <r>
      <rPr>
        <b/>
        <sz val="15"/>
        <rFont val="Segoe UI"/>
        <family val="2"/>
      </rPr>
      <t>10</t>
    </r>
    <r>
      <rPr>
        <sz val="15"/>
        <rFont val="Segoe UI"/>
        <family val="2"/>
      </rPr>
      <t xml:space="preserve"> (</t>
    </r>
    <r>
      <rPr>
        <sz val="15"/>
        <color rgb="FFFF0000"/>
        <rFont val="Segoe UI"/>
        <family val="2"/>
      </rPr>
      <t>Chad</t>
    </r>
    <r>
      <rPr>
        <sz val="15"/>
        <rFont val="Segoe UI"/>
        <family val="2"/>
      </rPr>
      <t xml:space="preserve">, </t>
    </r>
    <r>
      <rPr>
        <sz val="15"/>
        <color rgb="FFFF0000"/>
        <rFont val="Segoe UI"/>
        <family val="2"/>
      </rPr>
      <t>Republic of Congo</t>
    </r>
    <r>
      <rPr>
        <sz val="15"/>
        <rFont val="Segoe UI"/>
        <family val="2"/>
      </rPr>
      <t xml:space="preserve">, </t>
    </r>
    <r>
      <rPr>
        <sz val="15"/>
        <color rgb="FFFF0000"/>
        <rFont val="Segoe UI"/>
        <family val="2"/>
      </rPr>
      <t>Ethiopia</t>
    </r>
    <r>
      <rPr>
        <sz val="15"/>
        <rFont val="Segoe UI"/>
        <family val="2"/>
      </rPr>
      <t xml:space="preserve">, </t>
    </r>
    <r>
      <rPr>
        <sz val="15"/>
        <color rgb="FFFF0000"/>
        <rFont val="Segoe UI"/>
        <family val="2"/>
      </rPr>
      <t>The Gambia</t>
    </r>
    <r>
      <rPr>
        <sz val="15"/>
        <rFont val="Segoe UI"/>
        <family val="2"/>
      </rPr>
      <t xml:space="preserve">, </t>
    </r>
    <r>
      <rPr>
        <sz val="15"/>
        <color rgb="FFFF0000"/>
        <rFont val="Segoe UI"/>
        <family val="2"/>
      </rPr>
      <t>Ghana,</t>
    </r>
    <r>
      <rPr>
        <sz val="15"/>
        <rFont val="Segoe UI"/>
        <family val="2"/>
      </rPr>
      <t xml:space="preserve"> </t>
    </r>
    <r>
      <rPr>
        <sz val="15"/>
        <color rgb="FFFF0000"/>
        <rFont val="Segoe UI"/>
        <family val="2"/>
      </rPr>
      <t>Malawi</t>
    </r>
    <r>
      <rPr>
        <sz val="15"/>
        <rFont val="Segoe UI"/>
        <family val="2"/>
      </rPr>
      <t xml:space="preserve">, </t>
    </r>
    <r>
      <rPr>
        <sz val="15"/>
        <color rgb="FFFF0000"/>
        <rFont val="Segoe UI"/>
        <family val="2"/>
      </rPr>
      <t xml:space="preserve">Mozambique, </t>
    </r>
    <r>
      <rPr>
        <sz val="15"/>
        <rFont val="Segoe UI"/>
        <family val="2"/>
      </rPr>
      <t>Sao Tome and Principe, Sudan</t>
    </r>
    <r>
      <rPr>
        <vertAlign val="superscript"/>
        <sz val="15"/>
        <rFont val="Segoe UI"/>
        <family val="2"/>
      </rPr>
      <t>1/</t>
    </r>
    <r>
      <rPr>
        <sz val="15"/>
        <rFont val="Segoe UI"/>
        <family val="2"/>
      </rPr>
      <t>,</t>
    </r>
    <r>
      <rPr>
        <sz val="15"/>
        <color rgb="FFFF0000"/>
        <rFont val="Segoe UI"/>
        <family val="2"/>
      </rPr>
      <t xml:space="preserve"> Zambia</t>
    </r>
    <r>
      <rPr>
        <sz val="15"/>
        <rFont val="Segoe UI"/>
        <family val="2"/>
      </rPr>
      <t>)</t>
    </r>
  </si>
  <si>
    <t>2012-13 DCC</t>
  </si>
  <si>
    <t>Weak
(32)</t>
  </si>
  <si>
    <r>
      <rPr>
        <b/>
        <sz val="15"/>
        <rFont val="Segoe UI"/>
        <family val="2"/>
      </rPr>
      <t>21</t>
    </r>
    <r>
      <rPr>
        <sz val="15"/>
        <rFont val="Segoe UI"/>
        <family val="2"/>
      </rPr>
      <t xml:space="preserve"> (Afghanistan, Burundi, Cameroon, Central African Republic, </t>
    </r>
    <r>
      <rPr>
        <sz val="15"/>
        <color rgb="FFFF0000"/>
        <rFont val="Segoe UI"/>
        <family val="2"/>
      </rPr>
      <t>Chad</t>
    </r>
    <r>
      <rPr>
        <sz val="15"/>
        <rFont val="Segoe UI"/>
        <family val="2"/>
      </rPr>
      <t xml:space="preserve">, Democratic Republic of Congo, </t>
    </r>
    <r>
      <rPr>
        <sz val="15"/>
        <color rgb="FFFF0000"/>
        <rFont val="Segoe UI"/>
        <family val="2"/>
      </rPr>
      <t>Republic of Congo</t>
    </r>
    <r>
      <rPr>
        <sz val="15"/>
        <rFont val="Segoe UI"/>
        <family val="2"/>
      </rPr>
      <t>, Djibouti, Guinea, Guinea-Bissau, Liberia,</t>
    </r>
    <r>
      <rPr>
        <sz val="15"/>
        <color rgb="FFFF0000"/>
        <rFont val="Segoe UI"/>
        <family val="2"/>
      </rPr>
      <t xml:space="preserve"> Malawi</t>
    </r>
    <r>
      <rPr>
        <sz val="15"/>
        <rFont val="Segoe UI"/>
        <family val="2"/>
      </rPr>
      <t>,</t>
    </r>
    <r>
      <rPr>
        <b/>
        <sz val="15"/>
        <rFont val="Segoe UI"/>
        <family val="2"/>
      </rPr>
      <t xml:space="preserve"> Marshall Islands</t>
    </r>
    <r>
      <rPr>
        <sz val="15"/>
        <rFont val="Segoe UI"/>
        <family val="2"/>
      </rPr>
      <t xml:space="preserve">, </t>
    </r>
    <r>
      <rPr>
        <b/>
        <sz val="15"/>
        <rFont val="Segoe UI"/>
        <family val="2"/>
      </rPr>
      <t>Federal States of Micronesia</t>
    </r>
    <r>
      <rPr>
        <sz val="15"/>
        <rFont val="Segoe UI"/>
        <family val="2"/>
      </rPr>
      <t xml:space="preserve">, Sao Tome and Principe, Solomon Islands, </t>
    </r>
    <r>
      <rPr>
        <sz val="15"/>
        <color rgb="FFFF0000"/>
        <rFont val="Segoe UI"/>
        <family val="2"/>
      </rPr>
      <t>South Sudan</t>
    </r>
    <r>
      <rPr>
        <sz val="15"/>
        <rFont val="Segoe UI"/>
        <family val="2"/>
      </rPr>
      <t xml:space="preserve">, Sudan, Democratic Republic of Timor-Leste, </t>
    </r>
    <r>
      <rPr>
        <b/>
        <sz val="15"/>
        <rFont val="Segoe UI"/>
        <family val="2"/>
      </rPr>
      <t>Tuvalu</t>
    </r>
    <r>
      <rPr>
        <sz val="15"/>
        <rFont val="Segoe UI"/>
        <family val="2"/>
      </rPr>
      <t>,</t>
    </r>
    <r>
      <rPr>
        <sz val="15"/>
        <color rgb="FFFF0000"/>
        <rFont val="Segoe UI"/>
        <family val="2"/>
      </rPr>
      <t xml:space="preserve"> Zimbabwe</t>
    </r>
    <r>
      <rPr>
        <sz val="15"/>
        <rFont val="Segoe UI"/>
        <family val="2"/>
      </rPr>
      <t>)</t>
    </r>
  </si>
  <si>
    <r>
      <rPr>
        <b/>
        <sz val="15"/>
        <rFont val="Segoe UI"/>
        <family val="2"/>
      </rPr>
      <t>9</t>
    </r>
    <r>
      <rPr>
        <sz val="15"/>
        <rFont val="Segoe UI"/>
        <family val="2"/>
      </rPr>
      <t xml:space="preserve"> (Comoros, Cote d'Ivoire, </t>
    </r>
    <r>
      <rPr>
        <sz val="15"/>
        <color rgb="FFFF0000"/>
        <rFont val="Segoe UI"/>
        <family val="2"/>
      </rPr>
      <t>The Gambia</t>
    </r>
    <r>
      <rPr>
        <sz val="15"/>
        <rFont val="Segoe UI"/>
        <family val="2"/>
      </rPr>
      <t>, Haiti, Kiribati, Madagascar, Myanmar, Sierra Leone, Togo)</t>
    </r>
  </si>
  <si>
    <r>
      <rPr>
        <b/>
        <sz val="15"/>
        <rFont val="Segoe UI"/>
        <family val="2"/>
      </rPr>
      <t>2</t>
    </r>
    <r>
      <rPr>
        <sz val="15"/>
        <rFont val="Segoe UI"/>
        <family val="2"/>
      </rPr>
      <t xml:space="preserve"> (Tajikistan, </t>
    </r>
    <r>
      <rPr>
        <b/>
        <sz val="15"/>
        <rFont val="Segoe UI"/>
        <family val="2"/>
      </rPr>
      <t>Tonga</t>
    </r>
    <r>
      <rPr>
        <sz val="15"/>
        <rFont val="Segoe UI"/>
        <family val="2"/>
      </rPr>
      <t>)</t>
    </r>
  </si>
  <si>
    <t>Non-HIPC Countries
(33)</t>
  </si>
  <si>
    <r>
      <rPr>
        <b/>
        <sz val="15"/>
        <rFont val="Segoe UI"/>
        <family val="2"/>
      </rPr>
      <t>15</t>
    </r>
    <r>
      <rPr>
        <sz val="15"/>
        <rFont val="Segoe UI"/>
        <family val="2"/>
      </rPr>
      <t xml:space="preserve"> (Bangladesh, Bhutan, Cambodia, Kyrgyz Republic, Lesotho, </t>
    </r>
    <r>
      <rPr>
        <b/>
        <sz val="15"/>
        <rFont val="Segoe UI"/>
        <family val="2"/>
      </rPr>
      <t>Federal States of Micronesia</t>
    </r>
    <r>
      <rPr>
        <sz val="15"/>
        <rFont val="Segoe UI"/>
        <family val="2"/>
      </rPr>
      <t xml:space="preserve">, Moldova, Myanmar, Nepal, </t>
    </r>
    <r>
      <rPr>
        <b/>
        <sz val="15"/>
        <rFont val="Segoe UI"/>
        <family val="2"/>
      </rPr>
      <t>Samoa</t>
    </r>
    <r>
      <rPr>
        <sz val="15"/>
        <rFont val="Segoe UI"/>
        <family val="2"/>
      </rPr>
      <t>, Solomon Islands, Syria</t>
    </r>
    <r>
      <rPr>
        <vertAlign val="superscript"/>
        <sz val="15"/>
        <rFont val="Segoe UI"/>
        <family val="2"/>
      </rPr>
      <t>2/</t>
    </r>
    <r>
      <rPr>
        <sz val="15"/>
        <rFont val="Segoe UI"/>
        <family val="2"/>
      </rPr>
      <t>, Timor-Leste, Uzbekistan, Yemen</t>
    </r>
    <r>
      <rPr>
        <vertAlign val="superscript"/>
        <sz val="15"/>
        <rFont val="Segoe UI"/>
        <family val="2"/>
      </rPr>
      <t>2/</t>
    </r>
    <r>
      <rPr>
        <sz val="15"/>
        <rFont val="Segoe UI"/>
        <family val="2"/>
      </rPr>
      <t>)</t>
    </r>
  </si>
  <si>
    <r>
      <rPr>
        <b/>
        <sz val="15"/>
        <rFont val="Segoe UI"/>
        <family val="2"/>
      </rPr>
      <t>14</t>
    </r>
    <r>
      <rPr>
        <sz val="15"/>
        <rFont val="Segoe UI"/>
        <family val="2"/>
      </rPr>
      <t xml:space="preserve"> (</t>
    </r>
    <r>
      <rPr>
        <b/>
        <sz val="15"/>
        <rFont val="Segoe UI"/>
        <family val="2"/>
      </rPr>
      <t>Cabo Verde</t>
    </r>
    <r>
      <rPr>
        <sz val="15"/>
        <rFont val="Segoe UI"/>
        <family val="2"/>
      </rPr>
      <t xml:space="preserve">, </t>
    </r>
    <r>
      <rPr>
        <b/>
        <sz val="15"/>
        <rFont val="Segoe UI"/>
        <family val="2"/>
      </rPr>
      <t>Dominica</t>
    </r>
    <r>
      <rPr>
        <sz val="15"/>
        <rFont val="Segoe UI"/>
        <family val="2"/>
      </rPr>
      <t xml:space="preserve">, Kenya, Kiribati, </t>
    </r>
    <r>
      <rPr>
        <b/>
        <sz val="15"/>
        <rFont val="Segoe UI"/>
        <family val="2"/>
      </rPr>
      <t>Maldives</t>
    </r>
    <r>
      <rPr>
        <sz val="15"/>
        <rFont val="Segoe UI"/>
        <family val="2"/>
      </rPr>
      <t xml:space="preserve">, </t>
    </r>
    <r>
      <rPr>
        <b/>
        <sz val="15"/>
        <rFont val="Segoe UI"/>
        <family val="2"/>
      </rPr>
      <t>Marshall Islands</t>
    </r>
    <r>
      <rPr>
        <sz val="15"/>
        <rFont val="Segoe UI"/>
        <family val="2"/>
      </rPr>
      <t xml:space="preserve">, Papua New Guinea, </t>
    </r>
    <r>
      <rPr>
        <sz val="15"/>
        <color rgb="FFFF0000"/>
        <rFont val="Segoe UI"/>
        <family val="2"/>
      </rPr>
      <t>South Sudan</t>
    </r>
    <r>
      <rPr>
        <sz val="15"/>
        <rFont val="Segoe UI"/>
        <family val="2"/>
      </rPr>
      <t xml:space="preserve">, </t>
    </r>
    <r>
      <rPr>
        <b/>
        <sz val="15"/>
        <rFont val="Segoe UI"/>
        <family val="2"/>
      </rPr>
      <t>St. Lucia</t>
    </r>
    <r>
      <rPr>
        <sz val="15"/>
        <rFont val="Segoe UI"/>
        <family val="2"/>
      </rPr>
      <t xml:space="preserve">, </t>
    </r>
    <r>
      <rPr>
        <b/>
        <sz val="15"/>
        <rFont val="Segoe UI"/>
        <family val="2"/>
      </rPr>
      <t>St. Vincent and Grenadines</t>
    </r>
    <r>
      <rPr>
        <sz val="15"/>
        <rFont val="Segoe UI"/>
        <family val="2"/>
      </rPr>
      <t xml:space="preserve">, Tajikistan, </t>
    </r>
    <r>
      <rPr>
        <b/>
        <sz val="15"/>
        <rFont val="Segoe UI"/>
        <family val="2"/>
      </rPr>
      <t>Tonga</t>
    </r>
    <r>
      <rPr>
        <sz val="15"/>
        <rFont val="Segoe UI"/>
        <family val="2"/>
      </rPr>
      <t xml:space="preserve">, </t>
    </r>
    <r>
      <rPr>
        <b/>
        <sz val="15"/>
        <rFont val="Segoe UI"/>
        <family val="2"/>
      </rPr>
      <t>Tuvalu</t>
    </r>
    <r>
      <rPr>
        <sz val="15"/>
        <rFont val="Segoe UI"/>
        <family val="2"/>
      </rPr>
      <t>, Vanuatu)</t>
    </r>
  </si>
  <si>
    <r>
      <rPr>
        <b/>
        <sz val="15"/>
        <rFont val="Segoe UI"/>
        <family val="2"/>
      </rPr>
      <t>4</t>
    </r>
    <r>
      <rPr>
        <sz val="15"/>
        <rFont val="Segoe UI"/>
        <family val="2"/>
      </rPr>
      <t xml:space="preserve"> (Djibouti,</t>
    </r>
    <r>
      <rPr>
        <sz val="15"/>
        <color rgb="FFFF0000"/>
        <rFont val="Segoe UI"/>
        <family val="2"/>
      </rPr>
      <t xml:space="preserve"> </t>
    </r>
    <r>
      <rPr>
        <b/>
        <sz val="15"/>
        <color rgb="FFFF0000"/>
        <rFont val="Segoe UI"/>
        <family val="2"/>
      </rPr>
      <t>Grenada</t>
    </r>
    <r>
      <rPr>
        <sz val="15"/>
        <rFont val="Segoe UI"/>
        <family val="2"/>
      </rPr>
      <t xml:space="preserve">, Lao P.D.R., </t>
    </r>
    <r>
      <rPr>
        <sz val="15"/>
        <color rgb="FFFF0000"/>
        <rFont val="Segoe UI"/>
        <family val="2"/>
      </rPr>
      <t>Zimbabwe</t>
    </r>
    <r>
      <rPr>
        <sz val="15"/>
        <rFont val="Segoe UI"/>
        <family val="2"/>
      </rPr>
      <t xml:space="preserve"> )</t>
    </r>
  </si>
  <si>
    <r>
      <rPr>
        <b/>
        <sz val="15"/>
        <rFont val="Segoe UI"/>
        <family val="2"/>
      </rPr>
      <t>28</t>
    </r>
    <r>
      <rPr>
        <sz val="15"/>
        <rFont val="Segoe UI"/>
        <family val="2"/>
      </rPr>
      <t xml:space="preserve"> (Bangladesh, Bhutan,</t>
    </r>
    <r>
      <rPr>
        <b/>
        <sz val="15"/>
        <rFont val="Segoe UI"/>
        <family val="2"/>
      </rPr>
      <t xml:space="preserve"> Cabo Verde</t>
    </r>
    <r>
      <rPr>
        <sz val="15"/>
        <rFont val="Segoe UI"/>
        <family val="2"/>
      </rPr>
      <t xml:space="preserve">, Cambodia, </t>
    </r>
    <r>
      <rPr>
        <b/>
        <sz val="15"/>
        <rFont val="Segoe UI"/>
        <family val="2"/>
      </rPr>
      <t>Dominica</t>
    </r>
    <r>
      <rPr>
        <sz val="15"/>
        <rFont val="Segoe UI"/>
        <family val="2"/>
      </rPr>
      <t xml:space="preserve">, Kenya, Kiribati, Kyrgyz Republic, Lesotho, </t>
    </r>
    <r>
      <rPr>
        <b/>
        <sz val="15"/>
        <rFont val="Segoe UI"/>
        <family val="2"/>
      </rPr>
      <t>Maldives</t>
    </r>
    <r>
      <rPr>
        <sz val="15"/>
        <rFont val="Segoe UI"/>
        <family val="2"/>
      </rPr>
      <t xml:space="preserve">, </t>
    </r>
    <r>
      <rPr>
        <b/>
        <sz val="15"/>
        <rFont val="Segoe UI"/>
        <family val="2"/>
      </rPr>
      <t>Marshall Islands</t>
    </r>
    <r>
      <rPr>
        <sz val="15"/>
        <rFont val="Segoe UI"/>
        <family val="2"/>
      </rPr>
      <t xml:space="preserve">, </t>
    </r>
    <r>
      <rPr>
        <b/>
        <sz val="15"/>
        <rFont val="Segoe UI"/>
        <family val="2"/>
      </rPr>
      <t>Federal States of Micronesia</t>
    </r>
    <r>
      <rPr>
        <sz val="15"/>
        <rFont val="Segoe UI"/>
        <family val="2"/>
      </rPr>
      <t xml:space="preserve">, Moldova, Myanmar, Nepal, Papua New Guinea, </t>
    </r>
    <r>
      <rPr>
        <b/>
        <sz val="15"/>
        <rFont val="Segoe UI"/>
        <family val="2"/>
      </rPr>
      <t>Samoa</t>
    </r>
    <r>
      <rPr>
        <sz val="15"/>
        <rFont val="Segoe UI"/>
        <family val="2"/>
      </rPr>
      <t xml:space="preserve">, Solomon Islands, </t>
    </r>
    <r>
      <rPr>
        <b/>
        <sz val="15"/>
        <rFont val="Segoe UI"/>
        <family val="2"/>
      </rPr>
      <t>St. Lucia</t>
    </r>
    <r>
      <rPr>
        <sz val="15"/>
        <rFont val="Segoe UI"/>
        <family val="2"/>
      </rPr>
      <t xml:space="preserve">, </t>
    </r>
    <r>
      <rPr>
        <b/>
        <sz val="15"/>
        <rFont val="Segoe UI"/>
        <family val="2"/>
      </rPr>
      <t>St. Vincent and Grenadine</t>
    </r>
    <r>
      <rPr>
        <sz val="15"/>
        <rFont val="Segoe UI"/>
        <family val="2"/>
      </rPr>
      <t>s, Syria</t>
    </r>
    <r>
      <rPr>
        <vertAlign val="superscript"/>
        <sz val="15"/>
        <rFont val="Segoe UI"/>
        <family val="2"/>
      </rPr>
      <t>2/</t>
    </r>
    <r>
      <rPr>
        <sz val="15"/>
        <rFont val="Segoe UI"/>
        <family val="2"/>
      </rPr>
      <t xml:space="preserve">, Tajikistan, Timor-Leste, </t>
    </r>
    <r>
      <rPr>
        <b/>
        <sz val="15"/>
        <rFont val="Segoe UI"/>
        <family val="2"/>
      </rPr>
      <t>Tonga</t>
    </r>
    <r>
      <rPr>
        <sz val="15"/>
        <rFont val="Segoe UI"/>
        <family val="2"/>
      </rPr>
      <t xml:space="preserve">, </t>
    </r>
    <r>
      <rPr>
        <b/>
        <sz val="15"/>
        <rFont val="Segoe UI"/>
        <family val="2"/>
      </rPr>
      <t>Tuvalu</t>
    </r>
    <r>
      <rPr>
        <sz val="15"/>
        <rFont val="Segoe UI"/>
        <family val="2"/>
      </rPr>
      <t>, Uzbekistan, Vanuatu, Yemen)</t>
    </r>
  </si>
  <si>
    <r>
      <rPr>
        <b/>
        <sz val="15"/>
        <rFont val="Segoe UI"/>
        <family val="2"/>
      </rPr>
      <t>5</t>
    </r>
    <r>
      <rPr>
        <sz val="15"/>
        <rFont val="Segoe UI"/>
        <family val="2"/>
      </rPr>
      <t xml:space="preserve"> (Djibouti,</t>
    </r>
    <r>
      <rPr>
        <sz val="15"/>
        <color rgb="FFFF0000"/>
        <rFont val="Segoe UI"/>
        <family val="2"/>
      </rPr>
      <t xml:space="preserve"> </t>
    </r>
    <r>
      <rPr>
        <b/>
        <sz val="15"/>
        <color rgb="FFFF0000"/>
        <rFont val="Segoe UI"/>
        <family val="2"/>
      </rPr>
      <t>Grenada</t>
    </r>
    <r>
      <rPr>
        <sz val="15"/>
        <rFont val="Segoe UI"/>
        <family val="2"/>
      </rPr>
      <t xml:space="preserve">, Lao P.D.R., </t>
    </r>
    <r>
      <rPr>
        <sz val="15"/>
        <color rgb="FFFF0000"/>
        <rFont val="Segoe UI"/>
        <family val="2"/>
      </rPr>
      <t>South Sudan</t>
    </r>
    <r>
      <rPr>
        <sz val="15"/>
        <rFont val="Segoe UI"/>
        <family val="2"/>
      </rPr>
      <t xml:space="preserve">, </t>
    </r>
    <r>
      <rPr>
        <sz val="15"/>
        <color rgb="FFFF0000"/>
        <rFont val="Segoe UI"/>
        <family val="2"/>
      </rPr>
      <t>Zimbabwe</t>
    </r>
    <r>
      <rPr>
        <sz val="15"/>
        <rFont val="Segoe UI"/>
        <family val="2"/>
      </rPr>
      <t xml:space="preserve"> )</t>
    </r>
  </si>
  <si>
    <t>Medium
(24)</t>
  </si>
  <si>
    <r>
      <rPr>
        <b/>
        <sz val="15"/>
        <rFont val="Segoe UI"/>
        <family val="2"/>
      </rPr>
      <t>6</t>
    </r>
    <r>
      <rPr>
        <sz val="15"/>
        <rFont val="Segoe UI"/>
        <family val="2"/>
      </rPr>
      <t xml:space="preserve"> (</t>
    </r>
    <r>
      <rPr>
        <sz val="15"/>
        <color rgb="FFFF0000"/>
        <rFont val="Segoe UI"/>
        <family val="2"/>
      </rPr>
      <t>Ethiopia</t>
    </r>
    <r>
      <rPr>
        <sz val="15"/>
        <rFont val="Segoe UI"/>
        <family val="2"/>
      </rPr>
      <t xml:space="preserve">, Lao P.D.R., </t>
    </r>
    <r>
      <rPr>
        <b/>
        <sz val="15"/>
        <rFont val="Segoe UI"/>
        <family val="2"/>
      </rPr>
      <t>Maldives</t>
    </r>
    <r>
      <rPr>
        <sz val="15"/>
        <rFont val="Segoe UI"/>
        <family val="2"/>
      </rPr>
      <t xml:space="preserve">, </t>
    </r>
    <r>
      <rPr>
        <sz val="15"/>
        <color rgb="FFFF0000"/>
        <rFont val="Segoe UI"/>
        <family val="2"/>
      </rPr>
      <t>Mozambique</t>
    </r>
    <r>
      <rPr>
        <sz val="15"/>
        <rFont val="Segoe UI"/>
        <family val="2"/>
      </rPr>
      <t xml:space="preserve">, Papua New Guinea, </t>
    </r>
    <r>
      <rPr>
        <sz val="15"/>
        <color rgb="FFFF0000"/>
        <rFont val="Segoe UI"/>
        <family val="2"/>
      </rPr>
      <t>Zambia</t>
    </r>
    <r>
      <rPr>
        <sz val="15"/>
        <rFont val="Segoe UI"/>
        <family val="2"/>
      </rPr>
      <t>)</t>
    </r>
  </si>
  <si>
    <r>
      <rPr>
        <b/>
        <sz val="15"/>
        <rFont val="Segoe UI"/>
        <family val="2"/>
      </rPr>
      <t>12</t>
    </r>
    <r>
      <rPr>
        <sz val="15"/>
        <rFont val="Segoe UI"/>
        <family val="2"/>
      </rPr>
      <t xml:space="preserve"> (Bangladesh, Benin, Cambodia, </t>
    </r>
    <r>
      <rPr>
        <b/>
        <sz val="15"/>
        <color rgb="FFFF0000"/>
        <rFont val="Segoe UI"/>
        <family val="2"/>
      </rPr>
      <t>Grenada</t>
    </r>
    <r>
      <rPr>
        <sz val="15"/>
        <rFont val="Segoe UI"/>
        <family val="2"/>
      </rPr>
      <t>, Kenya, Lesotho, Mali, Mauritania, Nicaragua, Niger,</t>
    </r>
    <r>
      <rPr>
        <b/>
        <sz val="15"/>
        <rFont val="Segoe UI"/>
        <family val="2"/>
      </rPr>
      <t xml:space="preserve"> St. Vincent and the Grenadines</t>
    </r>
    <r>
      <rPr>
        <sz val="15"/>
        <rFont val="Segoe UI"/>
        <family val="2"/>
      </rPr>
      <t>, Vanuatu)</t>
    </r>
  </si>
  <si>
    <r>
      <rPr>
        <b/>
        <sz val="15"/>
        <rFont val="Segoe UI"/>
        <family val="2"/>
      </rPr>
      <t>6</t>
    </r>
    <r>
      <rPr>
        <sz val="15"/>
        <rFont val="Segoe UI"/>
        <family val="2"/>
      </rPr>
      <t xml:space="preserve"> (Honduras, Kyrgyz Republic, Moldova, Nepal, Rwanda, Senegal)</t>
    </r>
  </si>
  <si>
    <t xml:space="preserve">Notes: 
1/ Eritrea and Sudan are potentially eligible for debt relief but have not yet started the proces. 
2/ Eritrea, Syria and Yemen have not had a DSA rating for a prolonged period of time. 
Countries highlighted in red have undergone or are undergoing debt restructuring since the conclusion of HIPC. Countries in bold are not in the LIDC grouping. </t>
  </si>
  <si>
    <t xml:space="preserve">Notes: 
1/ Eritrea and Sudan are potentially eligible for debt relief but have not yet started the proces. 
2/ DSA ratings not available for Eritrea and Syria. 
Countries highlighted in red have undergone or are undergoing debt restructuring since the conclusion of HIPC. Countries in bold are not in the LIDC grouping. </t>
  </si>
  <si>
    <t>Strong
(8)</t>
  </si>
  <si>
    <r>
      <rPr>
        <b/>
        <sz val="15"/>
        <rFont val="Segoe UI"/>
        <family val="2"/>
      </rPr>
      <t>5</t>
    </r>
    <r>
      <rPr>
        <sz val="15"/>
        <rFont val="Segoe UI"/>
        <family val="2"/>
      </rPr>
      <t xml:space="preserve"> (Burkina Faso, </t>
    </r>
    <r>
      <rPr>
        <b/>
        <sz val="15"/>
        <rFont val="Segoe UI"/>
        <family val="2"/>
      </rPr>
      <t>Dominica</t>
    </r>
    <r>
      <rPr>
        <sz val="15"/>
        <rFont val="Segoe UI"/>
        <family val="2"/>
      </rPr>
      <t xml:space="preserve">, </t>
    </r>
    <r>
      <rPr>
        <sz val="15"/>
        <color rgb="FFFF0000"/>
        <rFont val="Segoe UI"/>
        <family val="2"/>
      </rPr>
      <t>Ghana</t>
    </r>
    <r>
      <rPr>
        <sz val="15"/>
        <rFont val="Segoe UI"/>
        <family val="2"/>
      </rPr>
      <t>, Tanzania, Uganda)</t>
    </r>
  </si>
  <si>
    <r>
      <rPr>
        <b/>
        <sz val="15"/>
        <rFont val="Segoe UI"/>
        <family val="2"/>
      </rPr>
      <t>3</t>
    </r>
    <r>
      <rPr>
        <sz val="15"/>
        <rFont val="Segoe UI"/>
        <family val="2"/>
      </rPr>
      <t xml:space="preserve"> (Bhutan, </t>
    </r>
    <r>
      <rPr>
        <b/>
        <sz val="15"/>
        <rFont val="Segoe UI"/>
        <family val="2"/>
      </rPr>
      <t>Cabo Verde</t>
    </r>
    <r>
      <rPr>
        <sz val="15"/>
        <rFont val="Segoe UI"/>
        <family val="2"/>
      </rPr>
      <t xml:space="preserve">, </t>
    </r>
    <r>
      <rPr>
        <b/>
        <sz val="15"/>
        <rFont val="Segoe UI"/>
        <family val="2"/>
      </rPr>
      <t>Samoa</t>
    </r>
    <r>
      <rPr>
        <sz val="15"/>
        <rFont val="Segoe UI"/>
        <family val="2"/>
      </rPr>
      <t>)</t>
    </r>
  </si>
  <si>
    <t xml:space="preserve">Notes: 
The comparison is not available for Eritrea, Somalia, St. Lucia, Syria, Uzbekistan and Yemen. 
Countries highlighted in red have undergone or are undergoing debt restructuring since the conclusion of HIPC. Countries in bold are not in the LIDC grouping. </t>
  </si>
  <si>
    <t>Figure. World Bank Debt Reporting Heat Map - 2024</t>
  </si>
  <si>
    <t>EW Participant</t>
  </si>
  <si>
    <t>Issue</t>
  </si>
  <si>
    <t>Addressed in the table</t>
  </si>
  <si>
    <t>Jun I. Kim</t>
  </si>
  <si>
    <t>The role of fiscal rules in debt management</t>
  </si>
  <si>
    <t>We can easily go the IMF Fiscal rule databae and record information on countries that have debt-related rules and anotherone about other rules</t>
  </si>
  <si>
    <t>Add: Monetary Unions</t>
  </si>
  <si>
    <t>Layna Mosley</t>
  </si>
  <si>
    <t>Spreads and credit ratings where available</t>
  </si>
  <si>
    <t>covered in the "have market access/frontier market" dummies</t>
  </si>
  <si>
    <t>Rodrigo Olivares</t>
  </si>
  <si>
    <t xml:space="preserve">Plurilateral creditors </t>
  </si>
  <si>
    <t>covered (see multilateral separation between WBG / ther Multis)</t>
  </si>
  <si>
    <t>Collaterized debt</t>
  </si>
  <si>
    <t>Proliferation of SWFs</t>
  </si>
  <si>
    <t>Sean Nolan</t>
  </si>
  <si>
    <t xml:space="preserve">Debt management conditionality </t>
  </si>
  <si>
    <t>Governance arrangements - who can contract public debt/issue guarantees and how tightly is this publicized/enforced</t>
  </si>
  <si>
    <t>Steve Kayizzi-Mugerwa</t>
  </si>
  <si>
    <t>LIDCs analytical group</t>
  </si>
  <si>
    <t>covered</t>
  </si>
  <si>
    <t>Udaibir Das</t>
  </si>
  <si>
    <t>The increasing use of SOEs, PPPs, contingent liabilities</t>
  </si>
  <si>
    <t>that relates to our discussion yesterday on what assumptions were being made in past DSAa on SOEs/PPPs</t>
  </si>
  <si>
    <t>x</t>
  </si>
  <si>
    <t>Treatment of climate risk related debt instruments under debt management</t>
  </si>
  <si>
    <t>for later</t>
  </si>
  <si>
    <t>Willie Nakunyada</t>
  </si>
  <si>
    <t>CD and TA data (institutional capacity for risk assessment, contingent liability management, debt strategy formulation, integration of debt sustainability into national development planning)</t>
  </si>
  <si>
    <t>The role of export and import banks (Afreximbank, Trade and Development Bank, Exim India, Exim China)</t>
  </si>
  <si>
    <t>Information is available for Afrexim, ESA TDB, ECO TDB, EFTA, BLADEX but India/China Exim detail not available in IDS (they are part of bilat flows (off or prvt))</t>
  </si>
  <si>
    <t>Climate shocks</t>
  </si>
  <si>
    <t>covered in SDS</t>
  </si>
  <si>
    <t>DSSI</t>
  </si>
  <si>
    <t>Flow Type</t>
  </si>
  <si>
    <t>Member</t>
  </si>
  <si>
    <t>Member Code</t>
  </si>
  <si>
    <t>Description</t>
  </si>
  <si>
    <t>Transaction Value Date</t>
  </si>
  <si>
    <t>Amount</t>
  </si>
  <si>
    <t>Original Disbursement Date</t>
  </si>
  <si>
    <t>Original Arrangement Date</t>
  </si>
  <si>
    <t>PRGT Disbursements</t>
  </si>
  <si>
    <t>Afghanistan, Islamic Republic of</t>
  </si>
  <si>
    <t>AFG</t>
  </si>
  <si>
    <t>Extended Credit Facility</t>
  </si>
  <si>
    <t>BGD</t>
  </si>
  <si>
    <t>GRA Purchases</t>
  </si>
  <si>
    <t>Extended Fund Facility</t>
  </si>
  <si>
    <t>BEN</t>
  </si>
  <si>
    <t>BFA</t>
  </si>
  <si>
    <t>BDI</t>
  </si>
  <si>
    <t>CPV</t>
  </si>
  <si>
    <t>CMR</t>
  </si>
  <si>
    <t>CAF</t>
  </si>
  <si>
    <t>TCD</t>
  </si>
  <si>
    <t>COM</t>
  </si>
  <si>
    <t>COD</t>
  </si>
  <si>
    <t>Congo, Republic of</t>
  </si>
  <si>
    <t>COG</t>
  </si>
  <si>
    <t>CIV</t>
  </si>
  <si>
    <t>DJI</t>
  </si>
  <si>
    <t>DMA</t>
  </si>
  <si>
    <t>ETH</t>
  </si>
  <si>
    <t>GMB</t>
  </si>
  <si>
    <t>GHA</t>
  </si>
  <si>
    <t>GRD</t>
  </si>
  <si>
    <t>GIN</t>
  </si>
  <si>
    <t>GNB</t>
  </si>
  <si>
    <t>HTI</t>
  </si>
  <si>
    <t>HND</t>
  </si>
  <si>
    <t>Stand-By Arrangement</t>
  </si>
  <si>
    <t>Standby Credit Facility</t>
  </si>
  <si>
    <t>KEN</t>
  </si>
  <si>
    <t>KGZ</t>
  </si>
  <si>
    <t>LSO</t>
  </si>
  <si>
    <t>LBR</t>
  </si>
  <si>
    <t>MDG</t>
  </si>
  <si>
    <t>MWI</t>
  </si>
  <si>
    <t>MDV</t>
  </si>
  <si>
    <t>MLI</t>
  </si>
  <si>
    <t>MRT</t>
  </si>
  <si>
    <t>Moldova, Republic of</t>
  </si>
  <si>
    <t>MDA</t>
  </si>
  <si>
    <t>MOZ</t>
  </si>
  <si>
    <t>NPL</t>
  </si>
  <si>
    <t>NIC</t>
  </si>
  <si>
    <t>NER</t>
  </si>
  <si>
    <t>PNG</t>
  </si>
  <si>
    <t>RWA</t>
  </si>
  <si>
    <t>Sao Tome &amp; Principe</t>
  </si>
  <si>
    <t>STP</t>
  </si>
  <si>
    <t>SEN</t>
  </si>
  <si>
    <t>SLE</t>
  </si>
  <si>
    <t>SLB</t>
  </si>
  <si>
    <t>SOM</t>
  </si>
  <si>
    <t>SDN</t>
  </si>
  <si>
    <t>Tajikistan, Republic of</t>
  </si>
  <si>
    <t>TJK</t>
  </si>
  <si>
    <t>TZA</t>
  </si>
  <si>
    <t>TGO</t>
  </si>
  <si>
    <t>UGA</t>
  </si>
  <si>
    <t>Yemen, Republic of</t>
  </si>
  <si>
    <t>YMN</t>
  </si>
  <si>
    <t>ZMB</t>
  </si>
  <si>
    <t>Query Type:</t>
  </si>
  <si>
    <t>COMMITMENTS</t>
  </si>
  <si>
    <t>Data Points:</t>
  </si>
  <si>
    <t>PRGT Arrangements</t>
  </si>
  <si>
    <t>Members:</t>
  </si>
  <si>
    <t>Afghanistan, Islamic Republic of, Albania, Algeria, Andorra, Angola, Antigua and Barbuda, Argentina, Armenia, Republic of, Australia, Austria, Azerbaijan, Bahamas, The, Bahrain, Kingdom of, Bangladesh, Barbados, Belarus, Republic of, Belgium, Belize, Benin, Bhutan, Bolivia, Bosnia and Herzegovina, Botswana, Brazil, Brunei Darussalam, Bulgaria, Burkina Faso, Burundi, Cabo Verde, Cambodia, Cameroon, Canada, Central African Republic, Chad, Chile, China, Colombia, Comoros, Congo, Democratic Republic of, Congo, Republic of, Costa Rica, Cote d'Ivoire, Croatia, Republic of, Cyprus, Czech Republic, Denmark, Djibouti, Dominica, Dominican Republic, Ecuador, Egypt, El Salvador, Equatorial Guinea, Eritrea, Estonia, Republic of, Eswatini, The Kingdom of, Ethiopia, Fiji, Finland, France, Gabon, Gambia, The, Georgia, Germany, Ghana, Greece, Grenada, Guatemala, Guinea, Guinea-Bissau, Guyana, Haiti, Honduras, HKMA, Hungary, Iceland, India, Indonesia, Iran, Islamic Republic of, Iraq, Ireland, Israel, Italy, Jamaica, Japan, Jordan, Kazakhstan, Republic of, Kenya, Kiribati, Korea, Kosovo, Kuwait, Kyrgyz Republic, Lao People's Democratic Republic, Latvia, Republic of, Lebanon, Lesotho, Liberia, Libya, Liechtenstein, Lithuania, Republic of, Luxembourg, Madagascar, Malawi, Malaysia, Maldives, Mali, Malta, Marshall Islands, Mauritania, Mauritius, Mexico, Micronesia, Federated States of, Moldova, Republic of, Mongolia, Montenegro, Republic of, Morocco, Mozambique, Myanmar, Namibia, Nauru, Nepal, Netherlands, The, New Zealand, Nicaragua, Niger, Nigeria, North Macedonia, Republic of, Norway, Oman, Pakistan, Palau, Panama, Papua New Guinea, Paraguay, Peru, Philippines, Poland, Republic of, Portugal, Qatar, Romania, Russian Federation, Rwanda, Samoa, San Marino, Republic of, Sao Tome &amp; Principe, Saudi Arabia, Senegal, Serbia, Republic of, Seychelles, Sierra Leone, Singapore, Slovak Republic, Slovenia, Republic of, Solomon Islands, Somalia, South Africa, South Sudan, Spain, Sri Lanka, St. Kitts and Nevis, St. Lucia, St. Vincent and the Grenadines, Sudan, Suriname, Sweden, Switzerland, Syrian Arab Republic, Tajikistan, Republic of, Tanzania, Thailand, Timor-Leste, The Democratic Republic of, Togo, Tonga, Trinidad and Tobago, Tunisia, TÃ¼rkiye, Republic of, Turkmenistan, Republic of, Tuvalu, Uganda, Ukraine, United Arab Emirates, United Kingdom, United States, Uruguay, Uzbekistan, Republic of, Vanuatu, Venezuela, Vietnam, Yemen, Republic of, Zambia, Zimbabwe</t>
  </si>
  <si>
    <t>Start Date:</t>
  </si>
  <si>
    <t>End Date:</t>
  </si>
  <si>
    <t>Output Options:</t>
  </si>
  <si>
    <t>APPROVED|LIST_BY_MEMBER</t>
  </si>
  <si>
    <t>Commitments from January 01, 2005 to December 31, 2024</t>
  </si>
  <si>
    <t>Upon Approval</t>
  </si>
  <si>
    <t>As Of 12/31/2024</t>
  </si>
  <si>
    <t>Type</t>
  </si>
  <si>
    <t>Facility</t>
  </si>
  <si>
    <t>Date Of Commitment</t>
  </si>
  <si>
    <t>Expiration Date</t>
  </si>
  <si>
    <t>Amount Agreed</t>
  </si>
  <si>
    <t>% Of Quota</t>
  </si>
  <si>
    <t>Precautionary</t>
  </si>
  <si>
    <t>NAB Eligible</t>
  </si>
  <si>
    <t>Amount Drawn</t>
  </si>
  <si>
    <t>Amount Outstanding</t>
  </si>
  <si>
    <t>Status</t>
  </si>
  <si>
    <t>Com Year</t>
  </si>
  <si>
    <t>Exp Year</t>
  </si>
  <si>
    <t>Row Labels</t>
  </si>
  <si>
    <t>Sum of 2005</t>
  </si>
  <si>
    <t>Sum of 2006</t>
  </si>
  <si>
    <t>Sum of 2007</t>
  </si>
  <si>
    <t>Sum of 2008</t>
  </si>
  <si>
    <t>Sum of 2009</t>
  </si>
  <si>
    <t>Sum of 2010</t>
  </si>
  <si>
    <t>Sum of 2011</t>
  </si>
  <si>
    <t>Sum of 2012</t>
  </si>
  <si>
    <t>Sum of 2013</t>
  </si>
  <si>
    <t>Sum of 2014</t>
  </si>
  <si>
    <t>Sum of 2015</t>
  </si>
  <si>
    <t>Sum of 2016</t>
  </si>
  <si>
    <t>Sum of 2017</t>
  </si>
  <si>
    <t>Sum of 2018</t>
  </si>
  <si>
    <t>Sum of 2019</t>
  </si>
  <si>
    <t>Sum of 2020</t>
  </si>
  <si>
    <t>Sum of 2021</t>
  </si>
  <si>
    <t>Sum of 2022</t>
  </si>
  <si>
    <t>Sum of 2023</t>
  </si>
  <si>
    <t>Sum of 2024</t>
  </si>
  <si>
    <t>PRGT</t>
  </si>
  <si>
    <t>N</t>
  </si>
  <si>
    <t>Expired</t>
  </si>
  <si>
    <t>Albania</t>
  </si>
  <si>
    <t>Armenia, Republic of</t>
  </si>
  <si>
    <t>ALB</t>
  </si>
  <si>
    <t>ARM</t>
  </si>
  <si>
    <t>Current</t>
  </si>
  <si>
    <t>Georgia</t>
  </si>
  <si>
    <t>Exogenous Shocks Facility</t>
  </si>
  <si>
    <t>GEO</t>
  </si>
  <si>
    <t>Y</t>
  </si>
  <si>
    <t>Grand 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</si>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</sst>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0"/>
      <color theme="1"/>
      <name val="Arial"/>
      <family val="2"/>
    </font>
    <font>
      <sz val="9"/>
      <color indexed="81"/>
      <name val="Tahoma"/>
      <family val="2"/>
    </font>
    <font>
      <b/>
      <sz val="9"/>
      <color indexed="81"/>
      <name val="Tahoma"/>
      <family val="2"/>
    </font>
    <font>
      <b/>
      <sz val="10"/>
      <color theme="1"/>
      <name val="Arial"/>
      <family val="2"/>
    </font>
    <font>
      <sz val="8"/>
      <name val="Arial"/>
      <family val="2"/>
    </font>
    <font>
      <sz val="11"/>
      <color theme="1"/>
      <name val="Aptos Narrow"/>
      <family val="2"/>
      <scheme val="minor"/>
    </font>
    <font>
      <sz val="10"/>
      <color rgb="FF000000"/>
      <name val="Segoe UI"/>
      <family val="2"/>
    </font>
    <font>
      <sz val="10"/>
      <name val="Segoe UI"/>
      <family val="2"/>
    </font>
    <font>
      <b/>
      <sz val="24"/>
      <color rgb="FF4B82AD"/>
      <name val="Segoe UI"/>
      <family val="2"/>
    </font>
    <font>
      <sz val="10"/>
      <name val="Arial"/>
      <family val="2"/>
    </font>
    <font>
      <sz val="15"/>
      <name val="Segoe UI"/>
      <family val="2"/>
    </font>
    <font>
      <b/>
      <sz val="15"/>
      <name val="Segoe UI"/>
      <family val="2"/>
    </font>
    <font>
      <sz val="10"/>
      <color theme="1"/>
      <name val="Segoe UI"/>
      <family val="2"/>
    </font>
    <font>
      <sz val="18"/>
      <color theme="1"/>
      <name val="Segoe UI"/>
      <family val="2"/>
    </font>
    <font>
      <sz val="15"/>
      <color rgb="FFFF0000"/>
      <name val="Segoe UI"/>
      <family val="2"/>
    </font>
    <font>
      <vertAlign val="superscript"/>
      <sz val="15"/>
      <name val="Segoe UI"/>
      <family val="2"/>
    </font>
    <font>
      <u/>
      <sz val="10"/>
      <color theme="10"/>
      <name val="Arial"/>
      <family val="2"/>
    </font>
    <font>
      <b/>
      <sz val="16"/>
      <color rgb="FF4B82AD"/>
      <name val="Segoe UI"/>
      <family val="2"/>
    </font>
    <font>
      <sz val="11"/>
      <color rgb="FF000000"/>
      <name val="Calibri"/>
      <family val="2"/>
    </font>
    <font>
      <b/>
      <sz val="15"/>
      <color rgb="FFFF0000"/>
      <name val="Segoe UI"/>
      <family val="2"/>
    </font>
    <font>
      <b/>
      <sz val="20"/>
      <name val="Segoe UI"/>
      <family val="2"/>
    </font>
    <font>
      <sz val="16"/>
      <name val="Arial"/>
      <family val="2"/>
    </font>
    <font>
      <sz val="18"/>
      <name val="Arial"/>
      <family val="2"/>
    </font>
    <font>
      <sz val="10"/>
      <color rgb="FF000000"/>
      <name val="Arial"/>
      <family val="2"/>
    </font>
    <font>
      <b/>
      <sz val="10"/>
      <color rgb="FF000000"/>
      <name val="Arial"/>
      <family val="2"/>
    </font>
    <font>
      <b/>
      <i/>
      <sz val="10"/>
      <color rgb="FF000000"/>
      <name val="Arial"/>
      <family val="2"/>
    </font>
    <font>
      <i/>
      <sz val="10"/>
      <color rgb="FF000000"/>
      <name val="Arial"/>
      <family val="2"/>
    </font>
    <font>
      <b/>
      <sz val="10"/>
      <color rgb="FF000000"/>
      <name val="Segoe UI"/>
      <family val="2"/>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5"/>
        <bgColor indexed="64"/>
      </patternFill>
    </fill>
    <fill>
      <patternFill patternType="solid">
        <fgColor rgb="FFEA816C"/>
        <bgColor indexed="64"/>
      </patternFill>
    </fill>
    <fill>
      <patternFill patternType="solid">
        <fgColor rgb="FFFBE2D5"/>
        <bgColor rgb="FF000000"/>
      </patternFill>
    </fill>
    <fill>
      <patternFill patternType="solid">
        <fgColor rgb="FFDAF2D0"/>
        <bgColor rgb="FF000000"/>
      </patternFill>
    </fill>
  </fills>
  <borders count="19">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3">
    <xf numFmtId="0" fontId="0" fillId="0" borderId="0"/>
    <xf numFmtId="0" fontId="5" fillId="0" borderId="0"/>
    <xf numFmtId="0" fontId="16" fillId="0" borderId="0" applyNumberFormat="0" applyFill="0" applyBorder="0" applyAlignment="0" applyProtection="0"/>
  </cellStyleXfs>
  <cellXfs count="135">
    <xf numFmtId="0" fontId="0" fillId="0" borderId="0" xfId="0"/>
    <xf numFmtId="14" fontId="0" fillId="0" borderId="0" xfId="0" applyNumberFormat="1"/>
    <xf numFmtId="3" fontId="0" fillId="0" borderId="0" xfId="0" applyNumberFormat="1"/>
    <xf numFmtId="0" fontId="3" fillId="0" borderId="0" xfId="0" applyFont="1"/>
    <xf numFmtId="0" fontId="0" fillId="0" borderId="0" xfId="0" applyAlignment="1">
      <alignment horizontal="center"/>
    </xf>
    <xf numFmtId="0" fontId="3" fillId="0" borderId="0" xfId="0" applyFont="1" applyAlignment="1">
      <alignment horizontal="left" vertical="top"/>
    </xf>
    <xf numFmtId="0" fontId="3" fillId="0" borderId="0" xfId="0" applyFont="1" applyAlignment="1">
      <alignment horizontal="left"/>
    </xf>
    <xf numFmtId="0" fontId="0" fillId="0" borderId="0" xfId="0" applyAlignment="1">
      <alignment horizontal="left"/>
    </xf>
    <xf numFmtId="0" fontId="0" fillId="2" borderId="0" xfId="0" applyFill="1"/>
    <xf numFmtId="15" fontId="0" fillId="0" borderId="0" xfId="0" applyNumberFormat="1"/>
    <xf numFmtId="0" fontId="3" fillId="0" borderId="0" xfId="0" applyFont="1" applyAlignment="1">
      <alignment wrapText="1"/>
    </xf>
    <xf numFmtId="1" fontId="6" fillId="0" borderId="0" xfId="1" applyNumberFormat="1" applyFont="1" applyAlignment="1">
      <alignment horizontal="center"/>
    </xf>
    <xf numFmtId="1" fontId="7" fillId="0" borderId="0" xfId="1" applyNumberFormat="1" applyFont="1" applyAlignment="1">
      <alignment horizontal="center"/>
    </xf>
    <xf numFmtId="164" fontId="6" fillId="0" borderId="0" xfId="0" applyNumberFormat="1" applyFont="1" applyAlignment="1">
      <alignment horizontal="left" vertical="top"/>
    </xf>
    <xf numFmtId="0" fontId="6" fillId="0" borderId="0" xfId="0" applyFont="1" applyAlignment="1">
      <alignment horizontal="left" vertical="top"/>
    </xf>
    <xf numFmtId="0" fontId="8" fillId="3" borderId="0" xfId="0" applyFont="1" applyFill="1"/>
    <xf numFmtId="0" fontId="9" fillId="3" borderId="0" xfId="0" applyFont="1" applyFill="1"/>
    <xf numFmtId="0" fontId="10" fillId="3" borderId="0" xfId="0" applyFont="1" applyFill="1" applyAlignment="1">
      <alignment vertical="top" wrapText="1"/>
    </xf>
    <xf numFmtId="0" fontId="12" fillId="3" borderId="0" xfId="0" applyFont="1" applyFill="1" applyAlignment="1">
      <alignment vertical="top" wrapText="1"/>
    </xf>
    <xf numFmtId="0" fontId="13" fillId="3" borderId="0" xfId="0" applyFont="1" applyFill="1" applyAlignment="1">
      <alignment vertical="top"/>
    </xf>
    <xf numFmtId="0" fontId="12" fillId="0" borderId="0" xfId="0" applyFont="1" applyAlignment="1">
      <alignment vertical="top" wrapText="1"/>
    </xf>
    <xf numFmtId="0" fontId="8" fillId="3" borderId="0" xfId="0" applyFont="1" applyFill="1" applyAlignment="1">
      <alignment vertical="center"/>
    </xf>
    <xf numFmtId="0" fontId="3" fillId="0" borderId="10" xfId="0" applyFont="1" applyBorder="1" applyAlignment="1">
      <alignment wrapText="1"/>
    </xf>
    <xf numFmtId="49" fontId="0" fillId="0" borderId="0" xfId="0" applyNumberFormat="1" applyAlignment="1">
      <alignment horizontal="center"/>
    </xf>
    <xf numFmtId="49" fontId="0" fillId="0" borderId="10" xfId="0" applyNumberFormat="1" applyBorder="1" applyAlignment="1">
      <alignment horizontal="center"/>
    </xf>
    <xf numFmtId="0" fontId="0" fillId="4" borderId="0" xfId="0" applyFill="1" applyAlignment="1">
      <alignment horizontal="center"/>
    </xf>
    <xf numFmtId="49" fontId="0" fillId="4" borderId="0" xfId="0" applyNumberFormat="1" applyFill="1" applyAlignment="1">
      <alignment horizontal="center"/>
    </xf>
    <xf numFmtId="49" fontId="0" fillId="4" borderId="10" xfId="0" applyNumberFormat="1" applyFill="1" applyBorder="1" applyAlignment="1">
      <alignment horizontal="center"/>
    </xf>
    <xf numFmtId="0" fontId="3" fillId="0" borderId="11" xfId="0" applyFont="1" applyBorder="1" applyAlignment="1">
      <alignment wrapText="1"/>
    </xf>
    <xf numFmtId="0" fontId="0" fillId="0" borderId="11" xfId="0" applyBorder="1" applyAlignment="1">
      <alignment horizontal="center"/>
    </xf>
    <xf numFmtId="0" fontId="3" fillId="0" borderId="11" xfId="0" applyFont="1" applyBorder="1"/>
    <xf numFmtId="0" fontId="3" fillId="3" borderId="0" xfId="0" applyFont="1" applyFill="1"/>
    <xf numFmtId="0" fontId="0" fillId="3" borderId="0" xfId="0" applyFill="1" applyAlignment="1">
      <alignment horizontal="center"/>
    </xf>
    <xf numFmtId="0" fontId="0" fillId="2" borderId="0" xfId="0" applyFill="1" applyAlignment="1">
      <alignment horizontal="center"/>
    </xf>
    <xf numFmtId="164" fontId="6" fillId="0" borderId="11" xfId="0" applyNumberFormat="1" applyFont="1" applyBorder="1" applyAlignment="1">
      <alignment horizontal="left" vertical="top"/>
    </xf>
    <xf numFmtId="0" fontId="6" fillId="0" borderId="10" xfId="0" applyFont="1" applyBorder="1" applyAlignment="1">
      <alignment horizontal="left" vertical="top"/>
    </xf>
    <xf numFmtId="0" fontId="11" fillId="3" borderId="0" xfId="0" applyFont="1" applyFill="1" applyAlignment="1">
      <alignment horizontal="center" wrapText="1"/>
    </xf>
    <xf numFmtId="0" fontId="11" fillId="3" borderId="0" xfId="0" applyFont="1" applyFill="1" applyAlignment="1">
      <alignment horizontal="center"/>
    </xf>
    <xf numFmtId="0" fontId="6" fillId="0" borderId="12" xfId="0" applyFont="1" applyBorder="1" applyAlignment="1">
      <alignment horizontal="left" vertical="top"/>
    </xf>
    <xf numFmtId="0" fontId="6" fillId="0" borderId="13" xfId="0" applyFont="1" applyBorder="1" applyAlignment="1">
      <alignment horizontal="left" vertical="top"/>
    </xf>
    <xf numFmtId="0" fontId="3" fillId="0" borderId="1" xfId="0" applyFont="1" applyBorder="1"/>
    <xf numFmtId="0" fontId="3" fillId="0" borderId="2" xfId="0" applyFont="1" applyBorder="1"/>
    <xf numFmtId="0" fontId="3" fillId="0" borderId="4" xfId="0" applyFont="1" applyBorder="1"/>
    <xf numFmtId="0" fontId="0" fillId="0" borderId="3" xfId="0"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8"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16" fillId="0" borderId="0" xfId="2"/>
    <xf numFmtId="0" fontId="0" fillId="5" borderId="0" xfId="0" applyFill="1"/>
    <xf numFmtId="0" fontId="17" fillId="3" borderId="0" xfId="0" applyFont="1" applyFill="1" applyAlignment="1">
      <alignment vertical="center"/>
    </xf>
    <xf numFmtId="0" fontId="3" fillId="3" borderId="11" xfId="0" applyFont="1" applyFill="1" applyBorder="1" applyAlignment="1">
      <alignment wrapText="1"/>
    </xf>
    <xf numFmtId="0" fontId="3" fillId="3" borderId="0" xfId="0" applyFont="1" applyFill="1" applyAlignment="1">
      <alignment wrapText="1"/>
    </xf>
    <xf numFmtId="0" fontId="0" fillId="3" borderId="11" xfId="0" applyFill="1"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3" fillId="0" borderId="1" xfId="0" applyFont="1" applyBorder="1" applyAlignment="1">
      <alignment wrapText="1"/>
    </xf>
    <xf numFmtId="0" fontId="3" fillId="0" borderId="4" xfId="0" applyFont="1" applyBorder="1" applyAlignment="1">
      <alignment wrapText="1"/>
    </xf>
    <xf numFmtId="0" fontId="0" fillId="0" borderId="8" xfId="0" applyBorder="1" applyAlignment="1">
      <alignment horizontal="center"/>
    </xf>
    <xf numFmtId="0" fontId="0" fillId="0" borderId="7" xfId="0" applyBorder="1" applyAlignment="1">
      <alignment horizontal="center"/>
    </xf>
    <xf numFmtId="2" fontId="18" fillId="0" borderId="5" xfId="0" applyNumberFormat="1" applyFont="1" applyBorder="1" applyAlignment="1">
      <alignment horizontal="center" vertical="center"/>
    </xf>
    <xf numFmtId="164" fontId="18" fillId="0" borderId="15" xfId="0" applyNumberFormat="1" applyFont="1" applyBorder="1" applyAlignment="1">
      <alignment horizontal="center" vertical="center"/>
    </xf>
    <xf numFmtId="164" fontId="0" fillId="0" borderId="14" xfId="0" applyNumberFormat="1" applyBorder="1" applyAlignment="1">
      <alignment horizontal="center" vertical="center"/>
    </xf>
    <xf numFmtId="164" fontId="0" fillId="0" borderId="15" xfId="0" applyNumberFormat="1" applyBorder="1" applyAlignment="1">
      <alignment horizontal="center" vertical="center"/>
    </xf>
    <xf numFmtId="164" fontId="0" fillId="0" borderId="16" xfId="0" applyNumberFormat="1" applyBorder="1" applyAlignment="1">
      <alignment horizontal="center" vertical="center"/>
    </xf>
    <xf numFmtId="0" fontId="3" fillId="0" borderId="4" xfId="0" applyFont="1" applyBorder="1" applyAlignment="1">
      <alignment vertical="top" wrapText="1"/>
    </xf>
    <xf numFmtId="2" fontId="18" fillId="0" borderId="5" xfId="0" applyNumberFormat="1" applyFont="1" applyBorder="1" applyAlignment="1">
      <alignment horizontal="center"/>
    </xf>
    <xf numFmtId="2" fontId="0" fillId="0" borderId="5" xfId="0" applyNumberFormat="1" applyBorder="1" applyAlignment="1">
      <alignment horizontal="center"/>
    </xf>
    <xf numFmtId="2" fontId="18" fillId="0" borderId="7" xfId="0" applyNumberFormat="1" applyFont="1" applyBorder="1" applyAlignment="1">
      <alignment horizontal="center"/>
    </xf>
    <xf numFmtId="0" fontId="8" fillId="3" borderId="0" xfId="0" applyFont="1" applyFill="1" applyAlignment="1">
      <alignment vertical="top"/>
    </xf>
    <xf numFmtId="0" fontId="11" fillId="0" borderId="0" xfId="0" applyFont="1" applyAlignment="1">
      <alignment vertical="top" wrapText="1"/>
    </xf>
    <xf numFmtId="0" fontId="11" fillId="0" borderId="0" xfId="0" applyFont="1" applyAlignment="1">
      <alignment vertical="top"/>
    </xf>
    <xf numFmtId="0" fontId="21" fillId="3" borderId="0" xfId="0" applyFont="1" applyFill="1"/>
    <xf numFmtId="0" fontId="22" fillId="3" borderId="0" xfId="0" applyFont="1" applyFill="1"/>
    <xf numFmtId="0" fontId="6" fillId="0" borderId="0" xfId="0" applyFont="1" applyAlignment="1">
      <alignment horizontal="center"/>
    </xf>
    <xf numFmtId="0" fontId="3" fillId="0" borderId="14" xfId="0" applyFont="1" applyBorder="1"/>
    <xf numFmtId="0" fontId="0" fillId="0" borderId="15" xfId="0" applyBorder="1"/>
    <xf numFmtId="0" fontId="0" fillId="0" borderId="16" xfId="0" applyBorder="1"/>
    <xf numFmtId="0" fontId="0" fillId="6" borderId="0" xfId="0" applyFill="1" applyAlignment="1">
      <alignment horizontal="center"/>
    </xf>
    <xf numFmtId="0" fontId="0" fillId="7" borderId="0" xfId="0" applyFill="1"/>
    <xf numFmtId="0" fontId="23" fillId="0" borderId="0" xfId="0" applyFont="1"/>
    <xf numFmtId="0" fontId="24" fillId="0" borderId="0" xfId="0" applyFont="1"/>
    <xf numFmtId="0" fontId="24" fillId="8" borderId="0" xfId="0" applyFont="1" applyFill="1"/>
    <xf numFmtId="0" fontId="25" fillId="0" borderId="0" xfId="0" applyFont="1"/>
    <xf numFmtId="0" fontId="24" fillId="0" borderId="10" xfId="0" applyFont="1" applyBorder="1"/>
    <xf numFmtId="0" fontId="26" fillId="0" borderId="0" xfId="0" applyFont="1"/>
    <xf numFmtId="0" fontId="23" fillId="0" borderId="10" xfId="0" applyFont="1" applyBorder="1"/>
    <xf numFmtId="0" fontId="26" fillId="9" borderId="0" xfId="0" applyFont="1" applyFill="1"/>
    <xf numFmtId="0" fontId="26" fillId="0" borderId="10" xfId="0" applyFont="1" applyBorder="1"/>
    <xf numFmtId="0" fontId="23" fillId="8" borderId="0" xfId="0" applyFont="1" applyFill="1"/>
    <xf numFmtId="0" fontId="23" fillId="0" borderId="0" xfId="0" applyFont="1" applyAlignment="1">
      <alignment horizontal="right"/>
    </xf>
    <xf numFmtId="0" fontId="0" fillId="0" borderId="0" xfId="0" applyAlignment="1">
      <alignment horizontal="right"/>
    </xf>
    <xf numFmtId="0" fontId="23" fillId="0" borderId="0" xfId="0" applyFont="1" applyAlignment="1">
      <alignment horizontal="left" vertical="top"/>
    </xf>
    <xf numFmtId="0" fontId="0" fillId="0" borderId="0" xfId="0" applyAlignment="1">
      <alignment horizontal="left" vertical="top"/>
    </xf>
    <xf numFmtId="164" fontId="6" fillId="0" borderId="6" xfId="0" applyNumberFormat="1" applyFont="1" applyBorder="1" applyAlignment="1">
      <alignment horizontal="left" vertical="top"/>
    </xf>
    <xf numFmtId="0" fontId="6" fillId="0" borderId="18" xfId="0" applyFont="1" applyBorder="1" applyAlignment="1">
      <alignment horizontal="left" vertical="top"/>
    </xf>
    <xf numFmtId="49" fontId="3" fillId="0" borderId="10" xfId="0" applyNumberFormat="1" applyFont="1" applyBorder="1" applyAlignment="1">
      <alignment horizontal="center"/>
    </xf>
    <xf numFmtId="0" fontId="3" fillId="0" borderId="0" xfId="0" applyFont="1" applyAlignment="1">
      <alignment horizontal="center"/>
    </xf>
    <xf numFmtId="0" fontId="3" fillId="0" borderId="11" xfId="0" applyFont="1" applyBorder="1" applyAlignment="1">
      <alignment horizontal="center"/>
    </xf>
    <xf numFmtId="0" fontId="27" fillId="0" borderId="10" xfId="0" applyFont="1" applyBorder="1" applyAlignment="1">
      <alignment horizontal="left" vertical="top"/>
    </xf>
    <xf numFmtId="164" fontId="27" fillId="0" borderId="0" xfId="0" applyNumberFormat="1" applyFont="1" applyAlignment="1">
      <alignment horizontal="left" vertical="top"/>
    </xf>
    <xf numFmtId="0" fontId="23" fillId="9" borderId="0" xfId="0" applyFont="1" applyFill="1"/>
    <xf numFmtId="49" fontId="0" fillId="0" borderId="10" xfId="0" applyNumberFormat="1" applyBorder="1" applyAlignment="1">
      <alignment horizontal="left"/>
    </xf>
    <xf numFmtId="0" fontId="0" fillId="0" borderId="17" xfId="0" applyBorder="1" applyAlignment="1">
      <alignment horizontal="center"/>
    </xf>
    <xf numFmtId="0" fontId="0" fillId="0" borderId="6" xfId="0" applyBorder="1" applyAlignment="1">
      <alignment horizontal="center"/>
    </xf>
    <xf numFmtId="0" fontId="0" fillId="0" borderId="0" xfId="0" quotePrefix="1" applyAlignment="1">
      <alignment horizontal="left" vertical="top"/>
    </xf>
    <xf numFmtId="0" fontId="0" fillId="0" borderId="0" xfId="0" applyAlignment="1">
      <alignment horizontal="left" wrapText="1"/>
    </xf>
    <xf numFmtId="0" fontId="11" fillId="3" borderId="0" xfId="0" applyFont="1" applyFill="1" applyAlignment="1">
      <alignment horizontal="center" wrapText="1"/>
    </xf>
    <xf numFmtId="0" fontId="11" fillId="3" borderId="0" xfId="0" applyFont="1" applyFill="1" applyAlignment="1">
      <alignment horizontal="center"/>
    </xf>
    <xf numFmtId="0" fontId="11" fillId="3" borderId="6" xfId="0" applyFont="1" applyFill="1" applyBorder="1" applyAlignment="1">
      <alignment horizontal="center" wrapText="1"/>
    </xf>
    <xf numFmtId="0" fontId="11" fillId="3" borderId="6" xfId="0" applyFont="1" applyFill="1" applyBorder="1" applyAlignment="1">
      <alignment horizontal="center"/>
    </xf>
    <xf numFmtId="0" fontId="10" fillId="0" borderId="9" xfId="0" applyFont="1" applyBorder="1" applyAlignment="1">
      <alignment horizontal="center" vertical="center" wrapText="1"/>
    </xf>
    <xf numFmtId="0" fontId="10" fillId="3" borderId="1"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10" fillId="0" borderId="1"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7" xfId="0" applyFont="1" applyBorder="1" applyAlignment="1">
      <alignment horizontal="center" vertical="center" wrapText="1"/>
    </xf>
    <xf numFmtId="0" fontId="10" fillId="3" borderId="2" xfId="0" applyFont="1" applyFill="1" applyBorder="1" applyAlignment="1">
      <alignment horizontal="left" vertical="top" wrapText="1"/>
    </xf>
    <xf numFmtId="0" fontId="10"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20" fillId="3" borderId="0" xfId="0" applyFont="1" applyFill="1" applyAlignment="1">
      <alignment horizontal="center" vertical="center" wrapText="1"/>
    </xf>
    <xf numFmtId="0" fontId="20" fillId="3" borderId="0" xfId="0" applyFont="1" applyFill="1" applyAlignment="1">
      <alignment horizontal="center" vertical="center" textRotation="90" wrapText="1"/>
    </xf>
    <xf numFmtId="0" fontId="6" fillId="0" borderId="0" xfId="0" applyFont="1" applyBorder="1" applyAlignment="1">
      <alignment horizontal="left" vertical="top"/>
    </xf>
  </cellXfs>
  <cellStyles count="3">
    <cellStyle name="Hyperlink" xfId="2" builtinId="8"/>
    <cellStyle name="Normal" xfId="0" builtinId="0"/>
    <cellStyle name="Normal 2" xfId="1" xr:uid="{21F3937F-3087-4942-ACA4-5709B2379FF1}"/>
  </cellStyles>
  <dxfs count="136">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0"/>
        <color rgb="FF000000"/>
        <name val="Segoe UI"/>
        <family val="2"/>
        <scheme val="none"/>
      </font>
      <alignment horizontal="left" vertical="top" textRotation="0" wrapText="0" indent="0" justifyLastLine="0" shrinkToFit="0" readingOrder="0"/>
    </dxf>
    <dxf>
      <font>
        <color rgb="FF000000"/>
        <name val="Segoe UI"/>
        <family val="2"/>
      </font>
      <alignment horizontal="left" vertical="top" textRotation="0" wrapText="0" indent="0" justifyLastLine="0" shrinkToFit="0" readingOrder="0"/>
    </dxf>
    <dxf>
      <font>
        <color rgb="FF000000"/>
        <name val="Segoe UI"/>
        <family val="2"/>
      </font>
      <alignment horizontal="left" vertical="top" textRotation="0" wrapText="0" indent="0" justifyLastLine="0" shrinkToFit="0" readingOrder="0"/>
    </dxf>
    <dxf>
      <font>
        <color rgb="FF000000"/>
        <name val="Segoe UI"/>
        <family val="2"/>
      </font>
      <alignment horizontal="left" vertical="top" textRotation="0" wrapText="0" indent="0" justifyLastLine="0" shrinkToFit="0" readingOrder="0"/>
    </dxf>
    <dxf>
      <font>
        <color rgb="FF000000"/>
        <name val="Segoe UI"/>
        <family val="2"/>
      </font>
      <alignment horizontal="left" vertical="top" textRotation="0" wrapText="0" indent="0" justifyLastLine="0" shrinkToFit="0" readingOrder="0"/>
    </dxf>
    <dxf>
      <font>
        <color rgb="FF000000"/>
        <name val="Segoe UI"/>
        <family val="2"/>
      </font>
      <numFmt numFmtId="164" formatCode="0.0"/>
      <alignment horizontal="left" vertical="top" textRotation="0" wrapText="0" indent="0" justifyLastLine="0" shrinkToFit="0" readingOrder="0"/>
    </dxf>
    <dxf>
      <font>
        <color rgb="FF000000"/>
        <name val="Segoe UI"/>
        <family val="2"/>
      </font>
      <numFmt numFmtId="164" formatCode="0.0"/>
      <alignment horizontal="left" vertical="top" textRotation="0" wrapText="0" indent="0" justifyLastLine="0" shrinkToFit="0" readingOrder="0"/>
    </dxf>
    <dxf>
      <font>
        <color rgb="FF000000"/>
        <name val="Segoe UI"/>
        <family val="2"/>
      </font>
      <numFmt numFmtId="164" formatCode="0.0"/>
      <alignment horizontal="left" vertical="top" textRotation="0" wrapText="0" indent="0" justifyLastLine="0" shrinkToFit="0" readingOrder="0"/>
    </dxf>
    <dxf>
      <font>
        <color rgb="FF000000"/>
        <name val="Segoe UI"/>
        <family val="2"/>
      </font>
      <numFmt numFmtId="164" formatCode="0.0"/>
      <alignment horizontal="left" vertical="top" textRotation="0" wrapText="0" indent="0" justifyLastLine="0" shrinkToFit="0" readingOrder="0"/>
      <border diagonalUp="0" diagonalDown="0">
        <left style="thin">
          <color rgb="FF000000"/>
        </left>
        <right/>
        <top/>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rgb="FF000000"/>
        <name val="Segoe UI"/>
        <family val="2"/>
        <scheme val="none"/>
      </font>
      <alignment horizontal="left" vertical="top"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rgb="FF000000"/>
        <name val="Segoe UI"/>
        <family val="2"/>
        <scheme val="none"/>
      </font>
      <numFmt numFmtId="164" formatCode="0.0"/>
      <alignment horizontal="left" vertical="top" textRotation="0" wrapText="0" indent="0" justifyLastLine="0" shrinkToFit="0" readingOrder="0"/>
    </dxf>
    <dxf>
      <font>
        <color rgb="FF000000"/>
        <name val="Segoe UI"/>
        <family val="2"/>
      </font>
      <alignment horizontal="left" vertical="top" textRotation="0" wrapText="0" indent="0" justifyLastLine="0" shrinkToFit="0" readingOrder="0"/>
    </dxf>
    <dxf>
      <font>
        <color rgb="FF000000"/>
        <name val="Segoe UI"/>
        <family val="2"/>
      </font>
      <alignment horizontal="left" vertical="top" textRotation="0" wrapText="0" indent="0" justifyLastLine="0" shrinkToFit="0" readingOrder="0"/>
    </dxf>
    <dxf>
      <font>
        <color rgb="FF000000"/>
        <name val="Segoe UI"/>
        <family val="2"/>
      </font>
      <numFmt numFmtId="164" formatCode="0.0"/>
      <alignment horizontal="left" vertical="top" textRotation="0" wrapText="0" indent="0" justifyLastLine="0" shrinkToFit="0" readingOrder="0"/>
    </dxf>
    <dxf>
      <font>
        <color rgb="FF000000"/>
        <name val="Segoe UI"/>
        <family val="2"/>
      </font>
      <numFmt numFmtId="164" formatCode="0.0"/>
      <alignment horizontal="left" vertical="top" textRotation="0" wrapText="0" indent="0" justifyLastLine="0" shrinkToFit="0" readingOrder="0"/>
      <border outline="0">
        <left style="thin">
          <color rgb="FF000000"/>
        </left>
      </border>
    </dxf>
    <dxf>
      <font>
        <sz val="11"/>
        <color rgb="FF000000"/>
        <name val="Calibri"/>
        <family val="2"/>
      </font>
      <numFmt numFmtId="2" formatCode="0.00"/>
      <alignment horizontal="center" vertical="bottom" textRotation="0" wrapText="0" indent="0" justifyLastLine="0" shrinkToFit="0" readingOrder="0"/>
      <border diagonalUp="0" diagonalDown="0">
        <left/>
        <right style="thin">
          <color indexed="64"/>
        </right>
        <top/>
        <bottom/>
        <vertical/>
        <horizontal/>
      </border>
    </dxf>
    <dxf>
      <numFmt numFmtId="164" formatCode="0.0"/>
      <alignment horizontal="center" vertical="center" textRotation="0" wrapText="0" indent="0" justifyLastLine="0" shrinkToFit="0" readingOrder="0"/>
      <border diagonalUp="0" diagonalDown="0">
        <left style="thin">
          <color indexed="64"/>
        </left>
        <right style="thin">
          <color indexed="64"/>
        </right>
        <top/>
        <bottom/>
        <vertical/>
        <horizontal/>
      </border>
    </dxf>
    <dxf>
      <alignment horizontal="center" vertical="bottom" textRotation="0" wrapText="0" indent="0" justifyLastLine="0" shrinkToFit="0" readingOrder="0"/>
      <border outline="0">
        <right style="thin">
          <color indexed="64"/>
        </right>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alignment horizontal="center" vertical="bottom" textRotation="0" wrapText="0" indent="0" justifyLastLine="0" shrinkToFit="0" readingOrder="0"/>
      <border diagonalUp="0" diagonalDown="0">
        <left/>
        <right style="thin">
          <color rgb="FF000000"/>
        </right>
        <top/>
        <bottom/>
        <vertical/>
        <horizontal/>
      </border>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rgb="FF000000"/>
        </left>
        <right/>
        <top/>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rgb="FF000000"/>
        </left>
        <right/>
        <top/>
        <bottom/>
        <vertical/>
        <horizontal/>
      </border>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bottom/>
        <vertical/>
        <horizontal/>
      </border>
    </dxf>
    <dxf>
      <fill>
        <patternFill patternType="solid">
          <fgColor indexed="64"/>
          <bgColor theme="0"/>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rgb="FF000000"/>
        </left>
        <right/>
        <top/>
        <bottom/>
        <vertical/>
        <horizontal/>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style="thin">
          <color indexed="64"/>
        </right>
        <top/>
        <bottom/>
        <vertical/>
        <horizontal/>
      </border>
    </dxf>
    <dxf>
      <alignment horizontal="center" vertical="bottom" textRotation="0" wrapText="0" indent="0" justifyLastLine="0" shrinkToFit="0" readingOrder="0"/>
      <border diagonalUp="0" diagonalDown="0">
        <left style="thin">
          <color indexed="64"/>
        </left>
        <right/>
        <top/>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color rgb="FF000000"/>
        <name val="Segoe UI"/>
        <family val="2"/>
      </font>
      <alignment horizontal="center" vertical="bottom" textRotation="0" wrapText="0" indent="0" justifyLastLine="0" shrinkToFit="0" readingOrder="0"/>
    </dxf>
    <dxf>
      <border diagonalUp="0" diagonalDown="0">
        <left style="thin">
          <color indexed="64"/>
        </left>
        <right style="thin">
          <color indexed="64"/>
        </right>
        <top/>
        <bottom/>
        <vertical/>
        <horizontal/>
      </border>
    </dxf>
    <dxf>
      <font>
        <b val="0"/>
        <i val="0"/>
        <strike val="0"/>
        <condense val="0"/>
        <extend val="0"/>
        <outline val="0"/>
        <shadow val="0"/>
        <u val="none"/>
        <vertAlign val="baseline"/>
        <sz val="10"/>
        <color rgb="FF000000"/>
        <name val="Segoe UI"/>
        <family val="2"/>
        <scheme val="none"/>
      </font>
      <alignment horizontal="left" vertical="top" textRotation="0" wrapText="0" indent="0" justifyLastLine="0" shrinkToFit="0" readingOrder="0"/>
    </dxf>
    <dxf>
      <font>
        <color rgb="FF000000"/>
        <name val="Segoe UI"/>
        <family val="2"/>
      </font>
      <alignment horizontal="left" vertical="top" textRotation="0" wrapText="0" indent="0" justifyLastLine="0" shrinkToFit="0" readingOrder="0"/>
    </dxf>
    <dxf>
      <font>
        <color rgb="FF000000"/>
        <name val="Segoe UI"/>
        <family val="2"/>
      </font>
      <alignment horizontal="left" vertical="top" textRotation="0" wrapText="0" indent="0" justifyLastLine="0" shrinkToFit="0" readingOrder="0"/>
    </dxf>
    <dxf>
      <font>
        <color rgb="FF000000"/>
        <name val="Segoe UI"/>
        <family val="2"/>
      </font>
      <alignment horizontal="left" vertical="top" textRotation="0" wrapText="0" indent="0" justifyLastLine="0" shrinkToFit="0" readingOrder="0"/>
    </dxf>
    <dxf>
      <font>
        <color rgb="FF000000"/>
        <name val="Segoe UI"/>
        <family val="2"/>
      </font>
      <alignment horizontal="left" vertical="top" textRotation="0" wrapText="0" indent="0" justifyLastLine="0" shrinkToFit="0" readingOrder="0"/>
    </dxf>
    <dxf>
      <font>
        <color rgb="FF000000"/>
        <name val="Segoe UI"/>
        <family val="2"/>
      </font>
      <numFmt numFmtId="164" formatCode="0.0"/>
      <alignment horizontal="left" vertical="top" textRotation="0" wrapText="0" indent="0" justifyLastLine="0" shrinkToFit="0" readingOrder="0"/>
    </dxf>
    <dxf>
      <font>
        <color rgb="FF000000"/>
        <name val="Segoe UI"/>
        <family val="2"/>
      </font>
      <numFmt numFmtId="164" formatCode="0.0"/>
      <alignment horizontal="left" vertical="top" textRotation="0" wrapText="0" indent="0" justifyLastLine="0" shrinkToFit="0" readingOrder="0"/>
    </dxf>
    <dxf>
      <font>
        <color rgb="FF000000"/>
        <name val="Segoe UI"/>
        <family val="2"/>
      </font>
      <numFmt numFmtId="164" formatCode="0.0"/>
      <alignment horizontal="left" vertical="top" textRotation="0" wrapText="0" indent="0" justifyLastLine="0" shrinkToFit="0" readingOrder="0"/>
    </dxf>
    <dxf>
      <font>
        <color rgb="FF000000"/>
        <name val="Segoe UI"/>
        <family val="2"/>
      </font>
      <numFmt numFmtId="164" formatCode="0.0"/>
      <alignment horizontal="left" vertical="top" textRotation="0" wrapText="0" indent="0" justifyLastLine="0" shrinkToFit="0" readingOrder="0"/>
      <border>
        <left style="thin">
          <color rgb="FF000000"/>
        </left>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rgb="FF000000"/>
        <name val="Segoe UI"/>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rgb="FF000000"/>
        <name val="Segoe UI"/>
        <family val="2"/>
        <scheme val="none"/>
      </font>
      <numFmt numFmtId="164" formatCode="0.0"/>
      <alignment horizontal="left" vertical="top" textRotation="0" wrapText="0" indent="0" justifyLastLine="0" shrinkToFit="0" readingOrder="0"/>
    </dxf>
    <dxf>
      <font>
        <color rgb="FF000000"/>
        <name val="Segoe UI"/>
        <family val="2"/>
      </font>
      <alignment horizontal="left" vertical="top" textRotation="0" wrapText="0" indent="0" justifyLastLine="0" shrinkToFit="0" readingOrder="0"/>
    </dxf>
    <dxf>
      <font>
        <color rgb="FF000000"/>
        <name val="Segoe UI"/>
        <family val="2"/>
      </font>
      <alignment horizontal="left" vertical="top" textRotation="0" wrapText="0" indent="0" justifyLastLine="0" shrinkToFit="0" readingOrder="0"/>
    </dxf>
    <dxf>
      <font>
        <color rgb="FF000000"/>
        <name val="Segoe UI"/>
        <family val="2"/>
      </font>
      <numFmt numFmtId="164" formatCode="0.0"/>
      <alignment horizontal="left" vertical="top" textRotation="0" wrapText="0" indent="0" justifyLastLine="0" shrinkToFit="0" readingOrder="0"/>
    </dxf>
    <dxf>
      <font>
        <color rgb="FF000000"/>
        <name val="Segoe UI"/>
        <family val="2"/>
      </font>
      <numFmt numFmtId="164" formatCode="0.0"/>
      <alignment horizontal="left" vertical="top" textRotation="0" wrapText="0" indent="0" justifyLastLine="0" shrinkToFit="0" readingOrder="0"/>
      <border>
        <left style="thin">
          <color rgb="FF000000"/>
        </left>
      </border>
    </dxf>
    <dxf>
      <font>
        <sz val="11"/>
        <color rgb="FF000000"/>
        <name val="Calibri"/>
        <family val="2"/>
      </font>
      <numFmt numFmtId="2" formatCode="0.00"/>
      <alignment horizontal="center" vertical="bottom" textRotation="0" wrapText="0" indent="0" justifyLastLine="0" shrinkToFit="0" readingOrder="0"/>
      <border diagonalUp="0" diagonalDown="0">
        <left/>
        <right style="thin">
          <color indexed="64"/>
        </right>
        <top/>
        <bottom/>
        <vertical/>
        <horizontal/>
      </border>
    </dxf>
    <dxf>
      <numFmt numFmtId="164" formatCode="0.0"/>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outline="0">
        <right style="thin">
          <color indexed="64"/>
        </right>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left style="thin">
          <color rgb="FF000000"/>
        </left>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left style="thin">
          <color rgb="FF000000"/>
        </left>
      </border>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border>
        <left style="thin">
          <color rgb="FF000000"/>
        </left>
      </border>
    </dxf>
    <dxf>
      <fill>
        <patternFill patternType="solid">
          <fgColor indexed="64"/>
          <bgColor theme="0" tint="-0.14999847407452621"/>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left style="thin">
          <color rgb="FF000000"/>
        </left>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style="thin">
          <color indexed="64"/>
        </right>
        <top/>
        <bottom/>
        <vertical/>
        <horizontal/>
      </border>
    </dxf>
    <dxf>
      <alignment horizontal="center" vertical="bottom" textRotation="0" wrapText="0" indent="0" justifyLastLine="0" shrinkToFit="0" readingOrder="0"/>
      <border diagonalUp="0" diagonalDown="0">
        <left style="thin">
          <color indexed="64"/>
        </left>
        <right/>
        <top/>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dxf>
  </dxfs>
  <tableStyles count="0" defaultTableStyle="TableStyleMedium2" defaultPivotStyle="PivotStyleLight16"/>
  <colors>
    <mruColors>
      <color rgb="FFEA81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552450</xdr:colOff>
      <xdr:row>2</xdr:row>
      <xdr:rowOff>123825</xdr:rowOff>
    </xdr:from>
    <xdr:to>
      <xdr:col>16</xdr:col>
      <xdr:colOff>323850</xdr:colOff>
      <xdr:row>126</xdr:row>
      <xdr:rowOff>47625</xdr:rowOff>
    </xdr:to>
    <xdr:pic>
      <xdr:nvPicPr>
        <xdr:cNvPr id="3" name="Picture 2">
          <a:extLst>
            <a:ext uri="{FF2B5EF4-FFF2-40B4-BE49-F238E27FC236}">
              <a16:creationId xmlns:a16="http://schemas.microsoft.com/office/drawing/2014/main" id="{5EA2492B-9E1D-91FB-6916-64D9D153B3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2450" y="609600"/>
          <a:ext cx="9525000" cy="2000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Li, Jiakun" id="{159E45D9-EB85-47C2-9788-03181CC06ADB}" userId="S::JLi5@imf.org::85503c5d-9501-4eea-b8bc-dbdd69d77395"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ssaveikyte\Downloads\COMMITMENTS%20(19).xls"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veikyte, Sandra" refreshedDate="45757.420853703705" createdVersion="8" refreshedVersion="8" minRefreshableVersion="3" recordCount="156" xr:uid="{9C506601-7B1C-40A3-878E-6C26D8799E4B}">
  <cacheSource type="worksheet">
    <worksheetSource ref="A10:AL166" sheet="Approved" r:id="rId2"/>
  </cacheSource>
  <cacheFields count="38">
    <cacheField name="Member" numFmtId="0">
      <sharedItems count="53">
        <s v="Afghanistan, Islamic Republic of"/>
        <s v="Albania"/>
        <s v="Armenia, Republic of"/>
        <s v="Bangladesh"/>
        <s v="Benin"/>
        <s v="Burkina Faso"/>
        <s v="Burundi"/>
        <s v="Cabo Verde"/>
        <s v="Cameroon"/>
        <s v="Central African Republic"/>
        <s v="Chad"/>
        <s v="Comoros"/>
        <s v="Congo, Democratic Republic of"/>
        <s v="Congo, Republic of"/>
        <s v="Cote d'Ivoire"/>
        <s v="Djibouti"/>
        <s v="Ethiopia"/>
        <s v="Gambia, The"/>
        <s v="Georgia"/>
        <s v="Ghana"/>
        <s v="Grenada"/>
        <s v="Guinea"/>
        <s v="Guinea-Bissau"/>
        <s v="Haiti"/>
        <s v="Honduras"/>
        <s v="Kenya"/>
        <s v="Kyrgyz Republic"/>
        <s v="Lesotho"/>
        <s v="Liberia"/>
        <s v="Madagascar"/>
        <s v="Malawi"/>
        <s v="Maldives"/>
        <s v="Mali"/>
        <s v="Mauritania"/>
        <s v="Moldova, Republic of"/>
        <s v="Mozambique"/>
        <s v="Nepal"/>
        <s v="Nicaragua"/>
        <s v="Niger"/>
        <s v="Papua New Guinea"/>
        <s v="Rwanda"/>
        <s v="Sao Tome &amp; Principe"/>
        <s v="Senegal"/>
        <s v="Sierra Leone"/>
        <s v="Solomon Islands"/>
        <s v="Somalia"/>
        <s v="Sudan"/>
        <s v="Tajikistan, Republic of"/>
        <s v="Tanzania"/>
        <s v="Togo"/>
        <s v="Uganda"/>
        <s v="Yemen, Republic of"/>
        <s v="Zambia"/>
      </sharedItems>
    </cacheField>
    <cacheField name="Member Code" numFmtId="0">
      <sharedItems/>
    </cacheField>
    <cacheField name="Type" numFmtId="0">
      <sharedItems/>
    </cacheField>
    <cacheField name="Facility" numFmtId="0">
      <sharedItems/>
    </cacheField>
    <cacheField name="Date Of Commitment" numFmtId="15">
      <sharedItems containsSemiMixedTypes="0" containsNonDate="0" containsDate="1" containsString="0" minDate="2005-01-31T00:00:00" maxDate="2024-12-20T00:00:00"/>
    </cacheField>
    <cacheField name="Expiration Date" numFmtId="15">
      <sharedItems containsSemiMixedTypes="0" containsNonDate="0" containsDate="1" containsString="0" minDate="2008-01-30T00:00:00" maxDate="2028-07-29T00:00:00"/>
    </cacheField>
    <cacheField name="Amount Agreed" numFmtId="3">
      <sharedItems containsSemiMixedTypes="0" containsString="0" containsNumber="1" containsInteger="1" minValue="1040000" maxValue="2555950000"/>
    </cacheField>
    <cacheField name="% Of Quota" numFmtId="0">
      <sharedItems containsSemiMixedTypes="0" containsString="0" containsNumber="1" minValue="10" maxValue="850"/>
    </cacheField>
    <cacheField name="Precautionary" numFmtId="0">
      <sharedItems/>
    </cacheField>
    <cacheField name="NAB Eligible" numFmtId="0">
      <sharedItems/>
    </cacheField>
    <cacheField name="Expiration Date2" numFmtId="15">
      <sharedItems containsSemiMixedTypes="0" containsNonDate="0" containsDate="1" containsString="0" minDate="2008-05-23T00:00:00" maxDate="2028-07-29T00:00:00"/>
    </cacheField>
    <cacheField name="Amount Agreed2" numFmtId="3">
      <sharedItems containsSemiMixedTypes="0" containsString="0" containsNumber="1" containsInteger="1" minValue="1040000" maxValue="2555950000"/>
    </cacheField>
    <cacheField name="% Of Quota2" numFmtId="0">
      <sharedItems containsSemiMixedTypes="0" containsString="0" containsNumber="1" minValue="5" maxValue="850"/>
    </cacheField>
    <cacheField name="Amount Drawn" numFmtId="0">
      <sharedItems containsSemiMixedTypes="0" containsString="0" containsNumber="1" containsInteger="1" minValue="0" maxValue="1441000000"/>
    </cacheField>
    <cacheField name="Amount Outstanding" numFmtId="0">
      <sharedItems containsSemiMixedTypes="0" containsString="0" containsNumber="1" containsInteger="1" minValue="0" maxValue="1441000000"/>
    </cacheField>
    <cacheField name="Status" numFmtId="0">
      <sharedItems/>
    </cacheField>
    <cacheField name="Com Year" numFmtId="0">
      <sharedItems containsSemiMixedTypes="0" containsString="0" containsNumber="1" containsInteger="1" minValue="2005" maxValue="2024"/>
    </cacheField>
    <cacheField name="Exp Year" numFmtId="0">
      <sharedItems containsSemiMixedTypes="0" containsString="0" containsNumber="1" containsInteger="1" minValue="2008" maxValue="2024"/>
    </cacheField>
    <cacheField name="2005" numFmtId="0">
      <sharedItems containsSemiMixedTypes="0" containsString="0" containsNumber="1" containsInteger="1" minValue="0" maxValue="1"/>
    </cacheField>
    <cacheField name="2006" numFmtId="0">
      <sharedItems containsSemiMixedTypes="0" containsString="0" containsNumber="1" containsInteger="1" minValue="0" maxValue="1"/>
    </cacheField>
    <cacheField name="2007" numFmtId="0">
      <sharedItems containsSemiMixedTypes="0" containsString="0" containsNumber="1" containsInteger="1" minValue="0" maxValue="1"/>
    </cacheField>
    <cacheField name="2008" numFmtId="0">
      <sharedItems containsSemiMixedTypes="0" containsString="0" containsNumber="1" containsInteger="1" minValue="0" maxValue="1"/>
    </cacheField>
    <cacheField name="2009" numFmtId="0">
      <sharedItems containsSemiMixedTypes="0" containsString="0" containsNumber="1" containsInteger="1" minValue="0" maxValue="1"/>
    </cacheField>
    <cacheField name="2010" numFmtId="0">
      <sharedItems containsSemiMixedTypes="0" containsString="0" containsNumber="1" containsInteger="1" minValue="0" maxValue="1"/>
    </cacheField>
    <cacheField name="2011" numFmtId="0">
      <sharedItems containsSemiMixedTypes="0" containsString="0" containsNumber="1" containsInteger="1" minValue="0" maxValue="1"/>
    </cacheField>
    <cacheField name="2012" numFmtId="0">
      <sharedItems containsSemiMixedTypes="0" containsString="0" containsNumber="1" containsInteger="1" minValue="0" maxValue="1"/>
    </cacheField>
    <cacheField name="2013" numFmtId="0">
      <sharedItems containsSemiMixedTypes="0" containsString="0" containsNumber="1" containsInteger="1" minValue="0" maxValue="1"/>
    </cacheField>
    <cacheField name="2014" numFmtId="0">
      <sharedItems containsSemiMixedTypes="0" containsString="0" containsNumber="1" containsInteger="1" minValue="0" maxValue="1"/>
    </cacheField>
    <cacheField name="2015" numFmtId="0">
      <sharedItems containsSemiMixedTypes="0" containsString="0" containsNumber="1" containsInteger="1" minValue="0" maxValue="1"/>
    </cacheField>
    <cacheField name="2016" numFmtId="0">
      <sharedItems containsSemiMixedTypes="0" containsString="0" containsNumber="1" containsInteger="1" minValue="0" maxValue="1"/>
    </cacheField>
    <cacheField name="2017" numFmtId="0">
      <sharedItems containsSemiMixedTypes="0" containsString="0" containsNumber="1" containsInteger="1" minValue="0" maxValue="1"/>
    </cacheField>
    <cacheField name="2018" numFmtId="0">
      <sharedItems containsSemiMixedTypes="0" containsString="0" containsNumber="1" containsInteger="1" minValue="0" maxValue="1"/>
    </cacheField>
    <cacheField name="2019" numFmtId="0">
      <sharedItems containsSemiMixedTypes="0" containsString="0" containsNumber="1" containsInteger="1" minValue="0" maxValue="1"/>
    </cacheField>
    <cacheField name="2020" numFmtId="0">
      <sharedItems containsSemiMixedTypes="0" containsString="0" containsNumber="1" containsInteger="1" minValue="0" maxValue="1"/>
    </cacheField>
    <cacheField name="2021" numFmtId="0">
      <sharedItems containsSemiMixedTypes="0" containsString="0" containsNumber="1" containsInteger="1" minValue="0" maxValue="1"/>
    </cacheField>
    <cacheField name="2022" numFmtId="0">
      <sharedItems containsSemiMixedTypes="0" containsString="0" containsNumber="1" containsInteger="1" minValue="0" maxValue="1"/>
    </cacheField>
    <cacheField name="2023" numFmtId="0">
      <sharedItems containsSemiMixedTypes="0" containsString="0" containsNumber="1" containsInteger="1" minValue="0" maxValue="1"/>
    </cacheField>
    <cacheField name="2024"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
  <r>
    <x v="0"/>
    <s v="AFG"/>
    <s v="PRGT"/>
    <s v="Extended Credit Facility"/>
    <d v="2006-06-26T00:00:00"/>
    <d v="2009-06-25T00:00:00"/>
    <n v="81000000"/>
    <n v="50"/>
    <s v="N"/>
    <s v="N"/>
    <d v="2010-09-25T00:00:00"/>
    <n v="81000000"/>
    <n v="25"/>
    <n v="75350000"/>
    <n v="0"/>
    <s v="Expired"/>
    <n v="2006"/>
    <n v="2009"/>
    <n v="0"/>
    <n v="1"/>
    <n v="1"/>
    <n v="1"/>
    <n v="1"/>
    <n v="0"/>
    <n v="0"/>
    <n v="0"/>
    <n v="0"/>
    <n v="0"/>
    <n v="0"/>
    <n v="0"/>
    <n v="0"/>
    <n v="0"/>
    <n v="0"/>
    <n v="0"/>
    <n v="0"/>
    <n v="0"/>
    <n v="0"/>
    <n v="0"/>
  </r>
  <r>
    <x v="0"/>
    <s v="AFG"/>
    <s v="PRGT"/>
    <s v="Extended Credit Facility"/>
    <d v="2011-11-14T00:00:00"/>
    <d v="2014-11-13T00:00:00"/>
    <n v="85000000"/>
    <n v="52.5"/>
    <s v="N"/>
    <s v="N"/>
    <d v="2014-11-13T00:00:00"/>
    <n v="85000000"/>
    <n v="26.3"/>
    <n v="24000000"/>
    <n v="0"/>
    <s v="Expired"/>
    <n v="2011"/>
    <n v="2014"/>
    <n v="0"/>
    <n v="0"/>
    <n v="0"/>
    <n v="0"/>
    <n v="0"/>
    <n v="0"/>
    <n v="1"/>
    <n v="1"/>
    <n v="1"/>
    <n v="1"/>
    <n v="0"/>
    <n v="0"/>
    <n v="0"/>
    <n v="0"/>
    <n v="0"/>
    <n v="0"/>
    <n v="0"/>
    <n v="0"/>
    <n v="0"/>
    <n v="0"/>
  </r>
  <r>
    <x v="0"/>
    <s v="AFG"/>
    <s v="PRGT"/>
    <s v="Extended Credit Facility"/>
    <d v="2016-07-20T00:00:00"/>
    <d v="2019-07-19T00:00:00"/>
    <n v="32380000"/>
    <n v="10"/>
    <s v="N"/>
    <s v="N"/>
    <d v="2019-12-31T00:00:00"/>
    <n v="32380000"/>
    <n v="10"/>
    <n v="32380000"/>
    <n v="22930000"/>
    <s v="Expired"/>
    <n v="2016"/>
    <n v="2019"/>
    <n v="0"/>
    <n v="0"/>
    <n v="0"/>
    <n v="0"/>
    <n v="0"/>
    <n v="0"/>
    <n v="0"/>
    <n v="0"/>
    <n v="0"/>
    <n v="0"/>
    <n v="0"/>
    <n v="1"/>
    <n v="1"/>
    <n v="1"/>
    <n v="1"/>
    <n v="0"/>
    <n v="0"/>
    <n v="0"/>
    <n v="0"/>
    <n v="0"/>
  </r>
  <r>
    <x v="0"/>
    <s v="AFG"/>
    <s v="PRGT"/>
    <s v="Extended Credit Facility"/>
    <d v="2020-11-06T00:00:00"/>
    <d v="2024-05-05T00:00:00"/>
    <n v="259040000"/>
    <n v="80"/>
    <s v="N"/>
    <s v="N"/>
    <d v="2022-12-06T00:00:00"/>
    <n v="259040000"/>
    <n v="80"/>
    <n v="184566000"/>
    <n v="184566000"/>
    <s v="Expired"/>
    <n v="2020"/>
    <n v="2024"/>
    <n v="0"/>
    <n v="0"/>
    <n v="0"/>
    <n v="0"/>
    <n v="0"/>
    <n v="0"/>
    <n v="0"/>
    <n v="0"/>
    <n v="0"/>
    <n v="0"/>
    <n v="0"/>
    <n v="0"/>
    <n v="0"/>
    <n v="0"/>
    <n v="0"/>
    <n v="1"/>
    <n v="1"/>
    <n v="1"/>
    <n v="1"/>
    <n v="1"/>
  </r>
  <r>
    <x v="1"/>
    <s v="ALB"/>
    <s v="PRGT"/>
    <s v="Extended Credit Facility"/>
    <d v="2006-02-01T00:00:00"/>
    <d v="2009-01-31T00:00:00"/>
    <n v="8522500"/>
    <n v="17.5"/>
    <s v="N"/>
    <s v="N"/>
    <d v="2009-01-30T00:00:00"/>
    <n v="8522500"/>
    <n v="6.1"/>
    <n v="8522500"/>
    <n v="0"/>
    <s v="Expired"/>
    <n v="2006"/>
    <n v="2009"/>
    <n v="0"/>
    <n v="1"/>
    <n v="1"/>
    <n v="1"/>
    <n v="1"/>
    <n v="0"/>
    <n v="0"/>
    <n v="0"/>
    <n v="0"/>
    <n v="0"/>
    <n v="0"/>
    <n v="0"/>
    <n v="0"/>
    <n v="0"/>
    <n v="0"/>
    <n v="0"/>
    <n v="0"/>
    <n v="0"/>
    <n v="0"/>
    <n v="0"/>
  </r>
  <r>
    <x v="2"/>
    <s v="ARM"/>
    <s v="PRGT"/>
    <s v="Extended Credit Facility"/>
    <d v="2005-05-25T00:00:00"/>
    <d v="2008-05-24T00:00:00"/>
    <n v="23000000"/>
    <n v="25"/>
    <s v="N"/>
    <s v="N"/>
    <d v="2008-05-23T00:00:00"/>
    <n v="23000000"/>
    <n v="17.899999999999999"/>
    <n v="23000000"/>
    <n v="0"/>
    <s v="Expired"/>
    <n v="2005"/>
    <n v="2008"/>
    <n v="1"/>
    <n v="1"/>
    <n v="1"/>
    <n v="1"/>
    <n v="0"/>
    <n v="0"/>
    <n v="0"/>
    <n v="0"/>
    <n v="0"/>
    <n v="0"/>
    <n v="0"/>
    <n v="0"/>
    <n v="0"/>
    <n v="0"/>
    <n v="0"/>
    <n v="0"/>
    <n v="0"/>
    <n v="0"/>
    <n v="0"/>
    <n v="0"/>
  </r>
  <r>
    <x v="2"/>
    <s v="ARM"/>
    <s v="PRGT"/>
    <s v="Extended Credit Facility"/>
    <d v="2008-11-17T00:00:00"/>
    <d v="2011-11-16T00:00:00"/>
    <n v="9200000"/>
    <n v="10"/>
    <s v="N"/>
    <s v="N"/>
    <d v="2009-03-06T00:00:00"/>
    <n v="9200000"/>
    <n v="7.1"/>
    <n v="1310000"/>
    <n v="0"/>
    <s v="Expired"/>
    <n v="2008"/>
    <n v="2011"/>
    <n v="0"/>
    <n v="0"/>
    <n v="0"/>
    <n v="1"/>
    <n v="1"/>
    <n v="1"/>
    <n v="1"/>
    <n v="0"/>
    <n v="0"/>
    <n v="0"/>
    <n v="0"/>
    <n v="0"/>
    <n v="0"/>
    <n v="0"/>
    <n v="0"/>
    <n v="0"/>
    <n v="0"/>
    <n v="0"/>
    <n v="0"/>
    <n v="0"/>
  </r>
  <r>
    <x v="2"/>
    <s v="ARM"/>
    <s v="PRGT"/>
    <s v="Extended Credit Facility"/>
    <d v="2010-06-28T00:00:00"/>
    <d v="2013-06-27T00:00:00"/>
    <n v="133400000"/>
    <n v="145"/>
    <s v="N"/>
    <s v="N"/>
    <d v="2013-07-02T00:00:00"/>
    <n v="133400000"/>
    <n v="103.6"/>
    <n v="133400000"/>
    <n v="0"/>
    <s v="Expired"/>
    <n v="2010"/>
    <n v="2013"/>
    <n v="0"/>
    <n v="0"/>
    <n v="0"/>
    <n v="0"/>
    <n v="0"/>
    <n v="1"/>
    <n v="1"/>
    <n v="1"/>
    <n v="1"/>
    <n v="0"/>
    <n v="0"/>
    <n v="0"/>
    <n v="0"/>
    <n v="0"/>
    <n v="0"/>
    <n v="0"/>
    <n v="0"/>
    <n v="0"/>
    <n v="0"/>
    <n v="0"/>
  </r>
  <r>
    <x v="3"/>
    <s v="BGD"/>
    <s v="PRGT"/>
    <s v="Extended Credit Facility"/>
    <d v="2012-04-11T00:00:00"/>
    <d v="2015-04-10T00:00:00"/>
    <n v="639960000"/>
    <n v="120"/>
    <s v="N"/>
    <s v="N"/>
    <d v="2015-10-29T00:00:00"/>
    <n v="639960000"/>
    <n v="60"/>
    <n v="639960000"/>
    <n v="36569000"/>
    <s v="Expired"/>
    <n v="2012"/>
    <n v="2015"/>
    <n v="0"/>
    <n v="0"/>
    <n v="0"/>
    <n v="0"/>
    <n v="0"/>
    <n v="0"/>
    <n v="0"/>
    <n v="1"/>
    <n v="1"/>
    <n v="1"/>
    <n v="1"/>
    <n v="0"/>
    <n v="0"/>
    <n v="0"/>
    <n v="0"/>
    <n v="0"/>
    <n v="0"/>
    <n v="0"/>
    <n v="0"/>
    <n v="0"/>
  </r>
  <r>
    <x v="3"/>
    <s v="BGD"/>
    <s v="PRGT"/>
    <s v="Extended Credit Facility"/>
    <d v="2023-01-30T00:00:00"/>
    <d v="2026-07-29T00:00:00"/>
    <n v="822820000"/>
    <n v="77.099999999999994"/>
    <s v="N"/>
    <s v="N"/>
    <d v="2026-07-29T00:00:00"/>
    <n v="822820000"/>
    <n v="77.099999999999994"/>
    <n v="469800000"/>
    <n v="469800000"/>
    <s v="Current"/>
    <n v="2023"/>
    <n v="2024"/>
    <n v="0"/>
    <n v="0"/>
    <n v="0"/>
    <n v="0"/>
    <n v="0"/>
    <n v="0"/>
    <n v="0"/>
    <n v="0"/>
    <n v="0"/>
    <n v="0"/>
    <n v="0"/>
    <n v="0"/>
    <n v="0"/>
    <n v="0"/>
    <n v="0"/>
    <n v="0"/>
    <n v="0"/>
    <n v="0"/>
    <n v="1"/>
    <n v="1"/>
  </r>
  <r>
    <x v="4"/>
    <s v="BEN"/>
    <s v="PRGT"/>
    <s v="Extended Credit Facility"/>
    <d v="2005-08-05T00:00:00"/>
    <d v="2008-08-04T00:00:00"/>
    <n v="6190000"/>
    <n v="10"/>
    <s v="N"/>
    <s v="N"/>
    <d v="2009-06-30T00:00:00"/>
    <n v="24770000"/>
    <n v="20"/>
    <n v="24770000"/>
    <n v="0"/>
    <s v="Expired"/>
    <n v="2005"/>
    <n v="2008"/>
    <n v="1"/>
    <n v="1"/>
    <n v="1"/>
    <n v="1"/>
    <n v="0"/>
    <n v="0"/>
    <n v="0"/>
    <n v="0"/>
    <n v="0"/>
    <n v="0"/>
    <n v="0"/>
    <n v="0"/>
    <n v="0"/>
    <n v="0"/>
    <n v="0"/>
    <n v="0"/>
    <n v="0"/>
    <n v="0"/>
    <n v="0"/>
    <n v="0"/>
  </r>
  <r>
    <x v="4"/>
    <s v="BEN"/>
    <s v="PRGT"/>
    <s v="Extended Credit Facility"/>
    <d v="2017-04-07T00:00:00"/>
    <d v="2020-04-06T00:00:00"/>
    <n v="111420000"/>
    <n v="90"/>
    <s v="N"/>
    <s v="N"/>
    <d v="2020-05-19T00:00:00"/>
    <n v="187433000"/>
    <n v="151.4"/>
    <n v="187433000"/>
    <n v="165149200"/>
    <s v="Expired"/>
    <n v="2017"/>
    <n v="2020"/>
    <n v="0"/>
    <n v="0"/>
    <n v="0"/>
    <n v="0"/>
    <n v="0"/>
    <n v="0"/>
    <n v="0"/>
    <n v="0"/>
    <n v="0"/>
    <n v="0"/>
    <n v="0"/>
    <n v="0"/>
    <n v="1"/>
    <n v="1"/>
    <n v="1"/>
    <n v="1"/>
    <n v="0"/>
    <n v="0"/>
    <n v="0"/>
    <n v="0"/>
  </r>
  <r>
    <x v="4"/>
    <s v="BEN"/>
    <s v="PRGT"/>
    <s v="Extended Credit Facility"/>
    <d v="2022-07-08T00:00:00"/>
    <d v="2026-01-07T00:00:00"/>
    <n v="161349000"/>
    <n v="130.30000000000001"/>
    <s v="N"/>
    <s v="N"/>
    <d v="2026-01-07T00:00:00"/>
    <n v="161349000"/>
    <n v="130.30000000000001"/>
    <n v="143800000"/>
    <n v="143800000"/>
    <s v="Current"/>
    <n v="2022"/>
    <n v="2024"/>
    <n v="0"/>
    <n v="0"/>
    <n v="0"/>
    <n v="0"/>
    <n v="0"/>
    <n v="0"/>
    <n v="0"/>
    <n v="0"/>
    <n v="0"/>
    <n v="0"/>
    <n v="0"/>
    <n v="0"/>
    <n v="0"/>
    <n v="0"/>
    <n v="0"/>
    <n v="0"/>
    <n v="0"/>
    <n v="1"/>
    <n v="1"/>
    <n v="1"/>
  </r>
  <r>
    <x v="5"/>
    <s v="BFA"/>
    <s v="PRGT"/>
    <s v="Extended Credit Facility"/>
    <d v="2007-04-23T00:00:00"/>
    <d v="2010-04-22T00:00:00"/>
    <n v="6020000"/>
    <n v="10"/>
    <s v="N"/>
    <s v="N"/>
    <d v="2010-04-22T00:00:00"/>
    <n v="48160000"/>
    <n v="40"/>
    <n v="47156000"/>
    <n v="0"/>
    <s v="Expired"/>
    <n v="2007"/>
    <n v="2010"/>
    <n v="0"/>
    <n v="0"/>
    <n v="1"/>
    <n v="1"/>
    <n v="1"/>
    <n v="1"/>
    <n v="0"/>
    <n v="0"/>
    <n v="0"/>
    <n v="0"/>
    <n v="0"/>
    <n v="0"/>
    <n v="0"/>
    <n v="0"/>
    <n v="0"/>
    <n v="0"/>
    <n v="0"/>
    <n v="0"/>
    <n v="0"/>
    <n v="0"/>
  </r>
  <r>
    <x v="5"/>
    <s v="BFA"/>
    <s v="PRGT"/>
    <s v="Extended Credit Facility"/>
    <d v="2010-06-14T00:00:00"/>
    <d v="2013-06-13T00:00:00"/>
    <n v="46154000"/>
    <n v="76.7"/>
    <s v="N"/>
    <s v="N"/>
    <d v="2013-12-23T00:00:00"/>
    <n v="82274000"/>
    <n v="68.3"/>
    <n v="82274000"/>
    <n v="0"/>
    <s v="Expired"/>
    <n v="2010"/>
    <n v="2013"/>
    <n v="0"/>
    <n v="0"/>
    <n v="0"/>
    <n v="0"/>
    <n v="0"/>
    <n v="1"/>
    <n v="1"/>
    <n v="1"/>
    <n v="1"/>
    <n v="0"/>
    <n v="0"/>
    <n v="0"/>
    <n v="0"/>
    <n v="0"/>
    <n v="0"/>
    <n v="0"/>
    <n v="0"/>
    <n v="0"/>
    <n v="0"/>
    <n v="0"/>
  </r>
  <r>
    <x v="5"/>
    <s v="BFA"/>
    <s v="PRGT"/>
    <s v="Extended Credit Facility"/>
    <d v="2013-12-27T00:00:00"/>
    <d v="2016-12-26T00:00:00"/>
    <n v="27090000"/>
    <n v="45"/>
    <s v="N"/>
    <s v="N"/>
    <d v="2017-07-24T00:00:00"/>
    <n v="55640000"/>
    <n v="46.2"/>
    <n v="55640000"/>
    <n v="12344000"/>
    <s v="Expired"/>
    <n v="2013"/>
    <n v="2016"/>
    <n v="0"/>
    <n v="0"/>
    <n v="0"/>
    <n v="0"/>
    <n v="0"/>
    <n v="0"/>
    <n v="0"/>
    <n v="0"/>
    <n v="1"/>
    <n v="1"/>
    <n v="1"/>
    <n v="1"/>
    <n v="0"/>
    <n v="0"/>
    <n v="0"/>
    <n v="0"/>
    <n v="0"/>
    <n v="0"/>
    <n v="0"/>
    <n v="0"/>
  </r>
  <r>
    <x v="5"/>
    <s v="BFA"/>
    <s v="PRGT"/>
    <s v="Extended Credit Facility"/>
    <d v="2018-03-14T00:00:00"/>
    <d v="2021-03-13T00:00:00"/>
    <n v="108360000"/>
    <n v="90"/>
    <s v="N"/>
    <s v="N"/>
    <d v="2020-11-17T00:00:00"/>
    <n v="108360000"/>
    <n v="90"/>
    <n v="108360000"/>
    <n v="101136000"/>
    <s v="Expired"/>
    <n v="2018"/>
    <n v="2021"/>
    <n v="0"/>
    <n v="0"/>
    <n v="0"/>
    <n v="0"/>
    <n v="0"/>
    <n v="0"/>
    <n v="0"/>
    <n v="0"/>
    <n v="0"/>
    <n v="0"/>
    <n v="0"/>
    <n v="0"/>
    <n v="0"/>
    <n v="1"/>
    <n v="1"/>
    <n v="1"/>
    <n v="1"/>
    <n v="0"/>
    <n v="0"/>
    <n v="0"/>
  </r>
  <r>
    <x v="5"/>
    <s v="BFA"/>
    <s v="PRGT"/>
    <s v="Extended Credit Facility"/>
    <d v="2023-09-21T00:00:00"/>
    <d v="2027-09-20T00:00:00"/>
    <n v="228760000"/>
    <n v="190"/>
    <s v="N"/>
    <s v="N"/>
    <d v="2027-09-20T00:00:00"/>
    <n v="228760000"/>
    <n v="190"/>
    <n v="72240000"/>
    <n v="72240000"/>
    <s v="Current"/>
    <n v="2023"/>
    <n v="2024"/>
    <n v="0"/>
    <n v="0"/>
    <n v="0"/>
    <n v="0"/>
    <n v="0"/>
    <n v="0"/>
    <n v="0"/>
    <n v="0"/>
    <n v="0"/>
    <n v="0"/>
    <n v="0"/>
    <n v="0"/>
    <n v="0"/>
    <n v="0"/>
    <n v="0"/>
    <n v="0"/>
    <n v="0"/>
    <n v="0"/>
    <n v="1"/>
    <n v="1"/>
  </r>
  <r>
    <x v="6"/>
    <s v="BDI"/>
    <s v="PRGT"/>
    <s v="Extended Credit Facility"/>
    <d v="2008-07-07T00:00:00"/>
    <d v="2011-07-06T00:00:00"/>
    <n v="46200000"/>
    <n v="60"/>
    <s v="N"/>
    <s v="N"/>
    <d v="2012-01-23T00:00:00"/>
    <n v="51200000"/>
    <n v="33.200000000000003"/>
    <n v="51200000"/>
    <n v="0"/>
    <s v="Expired"/>
    <n v="2008"/>
    <n v="2011"/>
    <n v="0"/>
    <n v="0"/>
    <n v="0"/>
    <n v="1"/>
    <n v="1"/>
    <n v="1"/>
    <n v="1"/>
    <n v="0"/>
    <n v="0"/>
    <n v="0"/>
    <n v="0"/>
    <n v="0"/>
    <n v="0"/>
    <n v="0"/>
    <n v="0"/>
    <n v="0"/>
    <n v="0"/>
    <n v="0"/>
    <n v="0"/>
    <n v="0"/>
  </r>
  <r>
    <x v="6"/>
    <s v="BDI"/>
    <s v="PRGT"/>
    <s v="Extended Credit Facility"/>
    <d v="2012-01-27T00:00:00"/>
    <d v="2015-01-26T00:00:00"/>
    <n v="30000000"/>
    <n v="39"/>
    <s v="N"/>
    <s v="N"/>
    <d v="2016-03-31T00:00:00"/>
    <n v="40000000"/>
    <n v="26"/>
    <n v="30000000"/>
    <n v="500000"/>
    <s v="Expired"/>
    <n v="2012"/>
    <n v="2015"/>
    <n v="0"/>
    <n v="0"/>
    <n v="0"/>
    <n v="0"/>
    <n v="0"/>
    <n v="0"/>
    <n v="0"/>
    <n v="1"/>
    <n v="1"/>
    <n v="1"/>
    <n v="1"/>
    <n v="0"/>
    <n v="0"/>
    <n v="0"/>
    <n v="0"/>
    <n v="0"/>
    <n v="0"/>
    <n v="0"/>
    <n v="0"/>
    <n v="0"/>
  </r>
  <r>
    <x v="6"/>
    <s v="BDI"/>
    <s v="PRGT"/>
    <s v="Extended Credit Facility"/>
    <d v="2023-07-17T00:00:00"/>
    <d v="2026-09-16T00:00:00"/>
    <n v="200200000"/>
    <n v="130"/>
    <s v="N"/>
    <s v="N"/>
    <d v="2026-09-16T00:00:00"/>
    <n v="200200000"/>
    <n v="130"/>
    <n v="46200000"/>
    <n v="46200000"/>
    <s v="Current"/>
    <n v="2023"/>
    <n v="2024"/>
    <n v="0"/>
    <n v="0"/>
    <n v="0"/>
    <n v="0"/>
    <n v="0"/>
    <n v="0"/>
    <n v="0"/>
    <n v="0"/>
    <n v="0"/>
    <n v="0"/>
    <n v="0"/>
    <n v="0"/>
    <n v="0"/>
    <n v="0"/>
    <n v="0"/>
    <n v="0"/>
    <n v="0"/>
    <n v="0"/>
    <n v="1"/>
    <n v="1"/>
  </r>
  <r>
    <x v="7"/>
    <s v="CPV"/>
    <s v="PRGT"/>
    <s v="Extended Credit Facility"/>
    <d v="2022-06-15T00:00:00"/>
    <d v="2025-06-14T00:00:00"/>
    <n v="45030000"/>
    <n v="190"/>
    <s v="N"/>
    <s v="N"/>
    <d v="2025-06-14T00:00:00"/>
    <n v="45030000"/>
    <n v="190"/>
    <n v="36020000"/>
    <n v="36020000"/>
    <s v="Current"/>
    <n v="2022"/>
    <n v="2024"/>
    <n v="0"/>
    <n v="0"/>
    <n v="0"/>
    <n v="0"/>
    <n v="0"/>
    <n v="0"/>
    <n v="0"/>
    <n v="0"/>
    <n v="0"/>
    <n v="0"/>
    <n v="0"/>
    <n v="0"/>
    <n v="0"/>
    <n v="0"/>
    <n v="0"/>
    <n v="0"/>
    <n v="0"/>
    <n v="1"/>
    <n v="1"/>
    <n v="1"/>
  </r>
  <r>
    <x v="8"/>
    <s v="CMR"/>
    <s v="PRGT"/>
    <s v="Extended Credit Facility"/>
    <d v="2005-10-24T00:00:00"/>
    <d v="2008-10-23T00:00:00"/>
    <n v="18570000"/>
    <n v="10"/>
    <s v="N"/>
    <s v="N"/>
    <d v="2009-01-16T00:00:00"/>
    <n v="18570000"/>
    <n v="6.7"/>
    <n v="18570000"/>
    <n v="0"/>
    <s v="Expired"/>
    <n v="2005"/>
    <n v="2008"/>
    <n v="1"/>
    <n v="1"/>
    <n v="1"/>
    <n v="1"/>
    <n v="0"/>
    <n v="0"/>
    <n v="0"/>
    <n v="0"/>
    <n v="0"/>
    <n v="0"/>
    <n v="0"/>
    <n v="0"/>
    <n v="0"/>
    <n v="0"/>
    <n v="0"/>
    <n v="0"/>
    <n v="0"/>
    <n v="0"/>
    <n v="0"/>
    <n v="0"/>
  </r>
  <r>
    <x v="8"/>
    <s v="CMR"/>
    <s v="PRGT"/>
    <s v="Extended Credit Facility"/>
    <d v="2017-06-26T00:00:00"/>
    <d v="2020-06-25T00:00:00"/>
    <n v="483000000"/>
    <n v="175"/>
    <s v="N"/>
    <s v="N"/>
    <d v="2020-09-30T00:00:00"/>
    <n v="483000000"/>
    <n v="175"/>
    <n v="427800000"/>
    <n v="322920000"/>
    <s v="Expired"/>
    <n v="2017"/>
    <n v="2020"/>
    <n v="0"/>
    <n v="0"/>
    <n v="0"/>
    <n v="0"/>
    <n v="0"/>
    <n v="0"/>
    <n v="0"/>
    <n v="0"/>
    <n v="0"/>
    <n v="0"/>
    <n v="0"/>
    <n v="0"/>
    <n v="1"/>
    <n v="1"/>
    <n v="1"/>
    <n v="1"/>
    <n v="0"/>
    <n v="0"/>
    <n v="0"/>
    <n v="0"/>
  </r>
  <r>
    <x v="8"/>
    <s v="CMR"/>
    <s v="PRGT"/>
    <s v="Extended Credit Facility"/>
    <d v="2021-07-29T00:00:00"/>
    <d v="2024-07-28T00:00:00"/>
    <n v="161000000"/>
    <n v="58.3"/>
    <s v="N"/>
    <s v="N"/>
    <d v="2025-07-28T00:00:00"/>
    <n v="197800000"/>
    <n v="71.7"/>
    <n v="161000000"/>
    <n v="161000000"/>
    <s v="Current"/>
    <n v="2021"/>
    <n v="2024"/>
    <n v="0"/>
    <n v="0"/>
    <n v="0"/>
    <n v="0"/>
    <n v="0"/>
    <n v="0"/>
    <n v="0"/>
    <n v="0"/>
    <n v="0"/>
    <n v="0"/>
    <n v="0"/>
    <n v="0"/>
    <n v="0"/>
    <n v="0"/>
    <n v="0"/>
    <n v="0"/>
    <n v="1"/>
    <n v="1"/>
    <n v="1"/>
    <n v="1"/>
  </r>
  <r>
    <x v="9"/>
    <s v="CAF"/>
    <s v="PRGT"/>
    <s v="Extended Credit Facility"/>
    <d v="2006-12-22T00:00:00"/>
    <d v="2009-12-21T00:00:00"/>
    <n v="36200000"/>
    <n v="65"/>
    <s v="N"/>
    <s v="N"/>
    <d v="2010-09-02T00:00:00"/>
    <n v="69620000"/>
    <n v="62.5"/>
    <n v="69620000"/>
    <n v="0"/>
    <s v="Expired"/>
    <n v="2006"/>
    <n v="2009"/>
    <n v="0"/>
    <n v="1"/>
    <n v="1"/>
    <n v="1"/>
    <n v="1"/>
    <n v="0"/>
    <n v="0"/>
    <n v="0"/>
    <n v="0"/>
    <n v="0"/>
    <n v="0"/>
    <n v="0"/>
    <n v="0"/>
    <n v="0"/>
    <n v="0"/>
    <n v="0"/>
    <n v="0"/>
    <n v="0"/>
    <n v="0"/>
    <n v="0"/>
  </r>
  <r>
    <x v="9"/>
    <s v="CAF"/>
    <s v="PRGT"/>
    <s v="Extended Credit Facility"/>
    <d v="2012-06-25T00:00:00"/>
    <d v="2015-06-24T00:00:00"/>
    <n v="41775000"/>
    <n v="75"/>
    <s v="N"/>
    <s v="N"/>
    <d v="2014-05-01T00:00:00"/>
    <n v="41775000"/>
    <n v="37.5"/>
    <n v="6963000"/>
    <n v="0"/>
    <s v="Expired"/>
    <n v="2012"/>
    <n v="2015"/>
    <n v="0"/>
    <n v="0"/>
    <n v="0"/>
    <n v="0"/>
    <n v="0"/>
    <n v="0"/>
    <n v="0"/>
    <n v="1"/>
    <n v="1"/>
    <n v="1"/>
    <n v="1"/>
    <n v="0"/>
    <n v="0"/>
    <n v="0"/>
    <n v="0"/>
    <n v="0"/>
    <n v="0"/>
    <n v="0"/>
    <n v="0"/>
    <n v="0"/>
  </r>
  <r>
    <x v="9"/>
    <s v="CAF"/>
    <s v="PRGT"/>
    <s v="Extended Credit Facility"/>
    <d v="2016-07-20T00:00:00"/>
    <d v="2019-07-19T00:00:00"/>
    <n v="83550000"/>
    <n v="75"/>
    <s v="N"/>
    <s v="N"/>
    <d v="2019-07-10T00:00:00"/>
    <n v="133680000"/>
    <n v="120"/>
    <n v="133680000"/>
    <n v="93470000"/>
    <s v="Expired"/>
    <n v="2016"/>
    <n v="2019"/>
    <n v="0"/>
    <n v="0"/>
    <n v="0"/>
    <n v="0"/>
    <n v="0"/>
    <n v="0"/>
    <n v="0"/>
    <n v="0"/>
    <n v="0"/>
    <n v="0"/>
    <n v="0"/>
    <n v="1"/>
    <n v="1"/>
    <n v="1"/>
    <n v="1"/>
    <n v="0"/>
    <n v="0"/>
    <n v="0"/>
    <n v="0"/>
    <n v="0"/>
  </r>
  <r>
    <x v="9"/>
    <s v="CAF"/>
    <s v="PRGT"/>
    <s v="Extended Credit Facility"/>
    <d v="2019-12-20T00:00:00"/>
    <d v="2022-12-19T00:00:00"/>
    <n v="83550000"/>
    <n v="75"/>
    <s v="N"/>
    <s v="N"/>
    <d v="2022-07-11T00:00:00"/>
    <n v="83550000"/>
    <n v="75"/>
    <n v="35808000"/>
    <n v="35808000"/>
    <s v="Expired"/>
    <n v="2019"/>
    <n v="2022"/>
    <n v="0"/>
    <n v="0"/>
    <n v="0"/>
    <n v="0"/>
    <n v="0"/>
    <n v="0"/>
    <n v="0"/>
    <n v="0"/>
    <n v="0"/>
    <n v="0"/>
    <n v="0"/>
    <n v="0"/>
    <n v="0"/>
    <n v="0"/>
    <n v="1"/>
    <n v="1"/>
    <n v="1"/>
    <n v="1"/>
    <n v="0"/>
    <n v="0"/>
  </r>
  <r>
    <x v="9"/>
    <s v="CAF"/>
    <s v="PRGT"/>
    <s v="Extended Credit Facility"/>
    <d v="2023-04-27T00:00:00"/>
    <d v="2026-06-26T00:00:00"/>
    <n v="141680000"/>
    <n v="127.2"/>
    <s v="N"/>
    <s v="N"/>
    <d v="2026-06-26T00:00:00"/>
    <n v="147480000"/>
    <n v="132.4"/>
    <n v="49070000"/>
    <n v="49070000"/>
    <s v="Current"/>
    <n v="2023"/>
    <n v="2024"/>
    <n v="0"/>
    <n v="0"/>
    <n v="0"/>
    <n v="0"/>
    <n v="0"/>
    <n v="0"/>
    <n v="0"/>
    <n v="0"/>
    <n v="0"/>
    <n v="0"/>
    <n v="0"/>
    <n v="0"/>
    <n v="0"/>
    <n v="0"/>
    <n v="0"/>
    <n v="0"/>
    <n v="0"/>
    <n v="0"/>
    <n v="1"/>
    <n v="1"/>
  </r>
  <r>
    <x v="10"/>
    <s v="TCD"/>
    <s v="PRGT"/>
    <s v="Extended Credit Facility"/>
    <d v="2005-02-16T00:00:00"/>
    <d v="2008-02-15T00:00:00"/>
    <n v="25200000"/>
    <n v="45"/>
    <s v="N"/>
    <s v="N"/>
    <d v="2008-05-31T00:00:00"/>
    <n v="25200000"/>
    <n v="18"/>
    <n v="4200000"/>
    <n v="0"/>
    <s v="Expired"/>
    <n v="2005"/>
    <n v="2008"/>
    <n v="1"/>
    <n v="1"/>
    <n v="1"/>
    <n v="1"/>
    <n v="0"/>
    <n v="0"/>
    <n v="0"/>
    <n v="0"/>
    <n v="0"/>
    <n v="0"/>
    <n v="0"/>
    <n v="0"/>
    <n v="0"/>
    <n v="0"/>
    <n v="0"/>
    <n v="0"/>
    <n v="0"/>
    <n v="0"/>
    <n v="0"/>
    <n v="0"/>
  </r>
  <r>
    <x v="10"/>
    <s v="TCD"/>
    <s v="PRGT"/>
    <s v="Extended Credit Facility"/>
    <d v="2014-08-01T00:00:00"/>
    <d v="2017-07-31T00:00:00"/>
    <n v="79920000"/>
    <n v="120"/>
    <s v="N"/>
    <s v="N"/>
    <d v="2017-06-29T00:00:00"/>
    <n v="140200000"/>
    <n v="100"/>
    <n v="98340000"/>
    <n v="23891000"/>
    <s v="Expired"/>
    <n v="2014"/>
    <n v="2017"/>
    <n v="0"/>
    <n v="0"/>
    <n v="0"/>
    <n v="0"/>
    <n v="0"/>
    <n v="0"/>
    <n v="0"/>
    <n v="0"/>
    <n v="0"/>
    <n v="1"/>
    <n v="1"/>
    <n v="1"/>
    <n v="1"/>
    <n v="0"/>
    <n v="0"/>
    <n v="0"/>
    <n v="0"/>
    <n v="0"/>
    <n v="0"/>
    <n v="0"/>
  </r>
  <r>
    <x v="10"/>
    <s v="TCD"/>
    <s v="PRGT"/>
    <s v="Extended Credit Facility"/>
    <d v="2017-06-30T00:00:00"/>
    <d v="2020-06-29T00:00:00"/>
    <n v="224320000"/>
    <n v="160"/>
    <s v="N"/>
    <s v="N"/>
    <d v="2020-07-22T00:00:00"/>
    <n v="224320000"/>
    <n v="160"/>
    <n v="196280000"/>
    <n v="157725000"/>
    <s v="Expired"/>
    <n v="2017"/>
    <n v="2020"/>
    <n v="0"/>
    <n v="0"/>
    <n v="0"/>
    <n v="0"/>
    <n v="0"/>
    <n v="0"/>
    <n v="0"/>
    <n v="0"/>
    <n v="0"/>
    <n v="0"/>
    <n v="0"/>
    <n v="0"/>
    <n v="1"/>
    <n v="1"/>
    <n v="1"/>
    <n v="1"/>
    <n v="0"/>
    <n v="0"/>
    <n v="0"/>
    <n v="0"/>
  </r>
  <r>
    <x v="10"/>
    <s v="TCD"/>
    <s v="PRGT"/>
    <s v="Extended Credit Facility"/>
    <d v="2021-12-10T00:00:00"/>
    <d v="2024-12-09T00:00:00"/>
    <n v="392560000"/>
    <n v="280"/>
    <s v="N"/>
    <s v="N"/>
    <d v="2024-06-21T00:00:00"/>
    <n v="392560000"/>
    <n v="280"/>
    <n v="168240000"/>
    <n v="168240000"/>
    <s v="Expired"/>
    <n v="2021"/>
    <n v="2024"/>
    <n v="0"/>
    <n v="0"/>
    <n v="0"/>
    <n v="0"/>
    <n v="0"/>
    <n v="0"/>
    <n v="0"/>
    <n v="0"/>
    <n v="0"/>
    <n v="0"/>
    <n v="0"/>
    <n v="0"/>
    <n v="0"/>
    <n v="0"/>
    <n v="0"/>
    <n v="0"/>
    <n v="1"/>
    <n v="1"/>
    <n v="1"/>
    <n v="1"/>
  </r>
  <r>
    <x v="11"/>
    <s v="COM"/>
    <s v="PRGT"/>
    <s v="Extended Credit Facility"/>
    <d v="2009-09-21T00:00:00"/>
    <d v="2012-09-20T00:00:00"/>
    <n v="13572500"/>
    <n v="152.5"/>
    <s v="N"/>
    <s v="N"/>
    <d v="2013-12-23T00:00:00"/>
    <n v="13572500"/>
    <n v="76.3"/>
    <n v="13572500"/>
    <n v="0"/>
    <s v="Expired"/>
    <n v="2009"/>
    <n v="2012"/>
    <n v="0"/>
    <n v="0"/>
    <n v="0"/>
    <n v="0"/>
    <n v="1"/>
    <n v="1"/>
    <n v="1"/>
    <n v="1"/>
    <n v="0"/>
    <n v="0"/>
    <n v="0"/>
    <n v="0"/>
    <n v="0"/>
    <n v="0"/>
    <n v="0"/>
    <n v="0"/>
    <n v="0"/>
    <n v="0"/>
    <n v="0"/>
    <n v="0"/>
  </r>
  <r>
    <x v="11"/>
    <s v="COM"/>
    <s v="PRGT"/>
    <s v="Extended Credit Facility"/>
    <d v="2023-06-01T00:00:00"/>
    <d v="2027-05-31T00:00:00"/>
    <n v="32040000"/>
    <n v="180"/>
    <s v="N"/>
    <s v="N"/>
    <d v="2027-05-31T00:00:00"/>
    <n v="32040000"/>
    <n v="180"/>
    <n v="14240000"/>
    <n v="14240000"/>
    <s v="Current"/>
    <n v="2023"/>
    <n v="2024"/>
    <n v="0"/>
    <n v="0"/>
    <n v="0"/>
    <n v="0"/>
    <n v="0"/>
    <n v="0"/>
    <n v="0"/>
    <n v="0"/>
    <n v="0"/>
    <n v="0"/>
    <n v="0"/>
    <n v="0"/>
    <n v="0"/>
    <n v="0"/>
    <n v="0"/>
    <n v="0"/>
    <n v="0"/>
    <n v="0"/>
    <n v="1"/>
    <n v="1"/>
  </r>
  <r>
    <x v="12"/>
    <s v="COD"/>
    <s v="PRGT"/>
    <s v="Extended Credit Facility"/>
    <d v="2009-12-11T00:00:00"/>
    <d v="2012-12-10T00:00:00"/>
    <n v="346450000"/>
    <n v="65"/>
    <s v="N"/>
    <s v="N"/>
    <d v="2012-12-10T00:00:00"/>
    <n v="346450000"/>
    <n v="32.5"/>
    <n v="197972000"/>
    <n v="0"/>
    <s v="Expired"/>
    <n v="2009"/>
    <n v="2012"/>
    <n v="0"/>
    <n v="0"/>
    <n v="0"/>
    <n v="0"/>
    <n v="1"/>
    <n v="1"/>
    <n v="1"/>
    <n v="1"/>
    <n v="0"/>
    <n v="0"/>
    <n v="0"/>
    <n v="0"/>
    <n v="0"/>
    <n v="0"/>
    <n v="0"/>
    <n v="0"/>
    <n v="0"/>
    <n v="0"/>
    <n v="0"/>
    <n v="0"/>
  </r>
  <r>
    <x v="12"/>
    <s v="COD"/>
    <s v="PRGT"/>
    <s v="Extended Credit Facility"/>
    <d v="2021-07-15T00:00:00"/>
    <d v="2024-07-14T00:00:00"/>
    <n v="1066000000"/>
    <n v="100"/>
    <s v="N"/>
    <s v="N"/>
    <d v="2024-07-09T00:00:00"/>
    <n v="1066000000"/>
    <n v="100"/>
    <n v="1066000000"/>
    <n v="1066000000"/>
    <s v="Expired"/>
    <n v="2021"/>
    <n v="2024"/>
    <n v="0"/>
    <n v="0"/>
    <n v="0"/>
    <n v="0"/>
    <n v="0"/>
    <n v="0"/>
    <n v="0"/>
    <n v="0"/>
    <n v="0"/>
    <n v="0"/>
    <n v="0"/>
    <n v="0"/>
    <n v="0"/>
    <n v="0"/>
    <n v="0"/>
    <n v="0"/>
    <n v="1"/>
    <n v="1"/>
    <n v="1"/>
    <n v="1"/>
  </r>
  <r>
    <x v="13"/>
    <s v="COG"/>
    <s v="PRGT"/>
    <s v="Extended Credit Facility"/>
    <d v="2008-12-08T00:00:00"/>
    <d v="2011-12-07T00:00:00"/>
    <n v="8460000"/>
    <n v="10"/>
    <s v="N"/>
    <s v="N"/>
    <d v="2011-08-04T00:00:00"/>
    <n v="8460000"/>
    <n v="5.2"/>
    <n v="8460000"/>
    <n v="0"/>
    <s v="Expired"/>
    <n v="2008"/>
    <n v="2011"/>
    <n v="0"/>
    <n v="0"/>
    <n v="0"/>
    <n v="1"/>
    <n v="1"/>
    <n v="1"/>
    <n v="1"/>
    <n v="0"/>
    <n v="0"/>
    <n v="0"/>
    <n v="0"/>
    <n v="0"/>
    <n v="0"/>
    <n v="0"/>
    <n v="0"/>
    <n v="0"/>
    <n v="0"/>
    <n v="0"/>
    <n v="0"/>
    <n v="0"/>
  </r>
  <r>
    <x v="13"/>
    <s v="COG"/>
    <s v="PRGT"/>
    <s v="Extended Credit Facility"/>
    <d v="2019-07-11T00:00:00"/>
    <d v="2022-07-10T00:00:00"/>
    <n v="324000000"/>
    <n v="200"/>
    <s v="N"/>
    <s v="N"/>
    <d v="2021-04-10T00:00:00"/>
    <n v="324000000"/>
    <n v="200"/>
    <n v="32400000"/>
    <n v="32400000"/>
    <s v="Expired"/>
    <n v="2019"/>
    <n v="2022"/>
    <n v="0"/>
    <n v="0"/>
    <n v="0"/>
    <n v="0"/>
    <n v="0"/>
    <n v="0"/>
    <n v="0"/>
    <n v="0"/>
    <n v="0"/>
    <n v="0"/>
    <n v="0"/>
    <n v="0"/>
    <n v="0"/>
    <n v="0"/>
    <n v="1"/>
    <n v="1"/>
    <n v="1"/>
    <n v="1"/>
    <n v="0"/>
    <n v="0"/>
  </r>
  <r>
    <x v="13"/>
    <s v="COG"/>
    <s v="PRGT"/>
    <s v="Extended Credit Facility"/>
    <d v="2022-01-21T00:00:00"/>
    <d v="2025-01-20T00:00:00"/>
    <n v="324000000"/>
    <n v="200"/>
    <s v="N"/>
    <s v="N"/>
    <d v="2025-01-20T00:00:00"/>
    <n v="324000000"/>
    <n v="200"/>
    <n v="291600000"/>
    <n v="291600000"/>
    <s v="Current"/>
    <n v="2022"/>
    <n v="2024"/>
    <n v="0"/>
    <n v="0"/>
    <n v="0"/>
    <n v="0"/>
    <n v="0"/>
    <n v="0"/>
    <n v="0"/>
    <n v="0"/>
    <n v="0"/>
    <n v="0"/>
    <n v="0"/>
    <n v="0"/>
    <n v="0"/>
    <n v="0"/>
    <n v="0"/>
    <n v="0"/>
    <n v="0"/>
    <n v="1"/>
    <n v="1"/>
    <n v="1"/>
  </r>
  <r>
    <x v="14"/>
    <s v="CIV"/>
    <s v="PRGT"/>
    <s v="Extended Credit Facility"/>
    <d v="2009-03-27T00:00:00"/>
    <d v="2012-03-26T00:00:00"/>
    <n v="373980000"/>
    <n v="115"/>
    <s v="N"/>
    <s v="N"/>
    <d v="2011-06-23T00:00:00"/>
    <n v="373980000"/>
    <n v="57.5"/>
    <n v="230892000"/>
    <n v="0"/>
    <s v="Expired"/>
    <n v="2009"/>
    <n v="2012"/>
    <n v="0"/>
    <n v="0"/>
    <n v="0"/>
    <n v="0"/>
    <n v="1"/>
    <n v="1"/>
    <n v="1"/>
    <n v="1"/>
    <n v="0"/>
    <n v="0"/>
    <n v="0"/>
    <n v="0"/>
    <n v="0"/>
    <n v="0"/>
    <n v="0"/>
    <n v="0"/>
    <n v="0"/>
    <n v="0"/>
    <n v="0"/>
    <n v="0"/>
  </r>
  <r>
    <x v="14"/>
    <s v="CIV"/>
    <s v="PRGT"/>
    <s v="Extended Credit Facility"/>
    <d v="2011-11-04T00:00:00"/>
    <d v="2014-11-03T00:00:00"/>
    <n v="390240000"/>
    <n v="120"/>
    <s v="N"/>
    <s v="N"/>
    <d v="2015-12-17T00:00:00"/>
    <n v="520320000"/>
    <n v="80"/>
    <n v="520320000"/>
    <n v="14634000"/>
    <s v="Expired"/>
    <n v="2011"/>
    <n v="2014"/>
    <n v="0"/>
    <n v="0"/>
    <n v="0"/>
    <n v="0"/>
    <n v="0"/>
    <n v="0"/>
    <n v="1"/>
    <n v="1"/>
    <n v="1"/>
    <n v="1"/>
    <n v="0"/>
    <n v="0"/>
    <n v="0"/>
    <n v="0"/>
    <n v="0"/>
    <n v="0"/>
    <n v="0"/>
    <n v="0"/>
    <n v="0"/>
    <n v="0"/>
  </r>
  <r>
    <x v="14"/>
    <s v="CIV"/>
    <s v="PRGT"/>
    <s v="Extended Credit Facility"/>
    <d v="2016-12-12T00:00:00"/>
    <d v="2019-12-11T00:00:00"/>
    <n v="162600000"/>
    <n v="25"/>
    <s v="N"/>
    <s v="N"/>
    <d v="2020-12-11T00:00:00"/>
    <n v="281324000"/>
    <n v="43.3"/>
    <n v="281324000"/>
    <n v="218993600"/>
    <s v="Expired"/>
    <n v="2016"/>
    <n v="2019"/>
    <n v="0"/>
    <n v="0"/>
    <n v="0"/>
    <n v="0"/>
    <n v="0"/>
    <n v="0"/>
    <n v="0"/>
    <n v="0"/>
    <n v="0"/>
    <n v="0"/>
    <n v="0"/>
    <n v="1"/>
    <n v="1"/>
    <n v="1"/>
    <n v="1"/>
    <n v="0"/>
    <n v="0"/>
    <n v="0"/>
    <n v="0"/>
    <n v="0"/>
  </r>
  <r>
    <x v="14"/>
    <s v="CIV"/>
    <s v="PRGT"/>
    <s v="Extended Credit Facility"/>
    <d v="2023-05-24T00:00:00"/>
    <d v="2026-09-23T00:00:00"/>
    <n v="867200000"/>
    <n v="133.30000000000001"/>
    <s v="N"/>
    <s v="N"/>
    <d v="2026-09-23T00:00:00"/>
    <n v="867200000"/>
    <n v="133.30000000000001"/>
    <n v="495544000"/>
    <n v="495544000"/>
    <s v="Current"/>
    <n v="2023"/>
    <n v="2024"/>
    <n v="0"/>
    <n v="0"/>
    <n v="0"/>
    <n v="0"/>
    <n v="0"/>
    <n v="0"/>
    <n v="0"/>
    <n v="0"/>
    <n v="0"/>
    <n v="0"/>
    <n v="0"/>
    <n v="0"/>
    <n v="0"/>
    <n v="0"/>
    <n v="0"/>
    <n v="0"/>
    <n v="0"/>
    <n v="0"/>
    <n v="1"/>
    <n v="1"/>
  </r>
  <r>
    <x v="15"/>
    <s v="DJI"/>
    <s v="PRGT"/>
    <s v="Extended Credit Facility"/>
    <d v="2008-09-17T00:00:00"/>
    <d v="2011-09-16T00:00:00"/>
    <n v="12720000"/>
    <n v="80"/>
    <s v="N"/>
    <s v="N"/>
    <d v="2012-05-31T00:00:00"/>
    <n v="22260000"/>
    <n v="70"/>
    <n v="22260000"/>
    <n v="0"/>
    <s v="Expired"/>
    <n v="2008"/>
    <n v="2011"/>
    <n v="0"/>
    <n v="0"/>
    <n v="0"/>
    <n v="1"/>
    <n v="1"/>
    <n v="1"/>
    <n v="1"/>
    <n v="0"/>
    <n v="0"/>
    <n v="0"/>
    <n v="0"/>
    <n v="0"/>
    <n v="0"/>
    <n v="0"/>
    <n v="0"/>
    <n v="0"/>
    <n v="0"/>
    <n v="0"/>
    <n v="0"/>
    <n v="0"/>
  </r>
  <r>
    <x v="16"/>
    <s v="ETH"/>
    <s v="PRGT"/>
    <s v="Exogenous Shocks Facility"/>
    <d v="2009-08-26T00:00:00"/>
    <d v="2010-10-25T00:00:00"/>
    <n v="153755000"/>
    <n v="115"/>
    <s v="N"/>
    <s v="N"/>
    <d v="2010-11-22T00:00:00"/>
    <n v="153755000"/>
    <n v="51.1"/>
    <n v="153755000"/>
    <n v="0"/>
    <s v="Expired"/>
    <n v="2009"/>
    <n v="2010"/>
    <n v="0"/>
    <n v="0"/>
    <n v="0"/>
    <n v="0"/>
    <n v="1"/>
    <n v="1"/>
    <n v="0"/>
    <n v="0"/>
    <n v="0"/>
    <n v="0"/>
    <n v="0"/>
    <n v="0"/>
    <n v="0"/>
    <n v="0"/>
    <n v="0"/>
    <n v="0"/>
    <n v="0"/>
    <n v="0"/>
    <n v="0"/>
    <n v="0"/>
  </r>
  <r>
    <x v="16"/>
    <s v="ETH"/>
    <s v="PRGT"/>
    <s v="Extended Credit Facility"/>
    <d v="2019-12-20T00:00:00"/>
    <d v="2022-12-19T00:00:00"/>
    <n v="1202800000"/>
    <n v="400"/>
    <s v="N"/>
    <s v="N"/>
    <d v="2021-09-19T00:00:00"/>
    <n v="1202800000"/>
    <n v="400"/>
    <n v="133640000"/>
    <n v="133640000"/>
    <s v="Expired"/>
    <n v="2019"/>
    <n v="2022"/>
    <n v="0"/>
    <n v="0"/>
    <n v="0"/>
    <n v="0"/>
    <n v="0"/>
    <n v="0"/>
    <n v="0"/>
    <n v="0"/>
    <n v="0"/>
    <n v="0"/>
    <n v="0"/>
    <n v="0"/>
    <n v="0"/>
    <n v="0"/>
    <n v="1"/>
    <n v="1"/>
    <n v="1"/>
    <n v="1"/>
    <n v="0"/>
    <n v="0"/>
  </r>
  <r>
    <x v="16"/>
    <s v="ETH"/>
    <s v="PRGT"/>
    <s v="Extended Credit Facility"/>
    <d v="2024-07-29T00:00:00"/>
    <d v="2028-07-28T00:00:00"/>
    <n v="2555950000"/>
    <n v="850"/>
    <s v="N"/>
    <s v="N"/>
    <d v="2028-07-28T00:00:00"/>
    <n v="2555950000"/>
    <n v="850"/>
    <n v="1022350000"/>
    <n v="1022350000"/>
    <s v="Current"/>
    <n v="2024"/>
    <n v="2024"/>
    <n v="0"/>
    <n v="0"/>
    <n v="0"/>
    <n v="0"/>
    <n v="0"/>
    <n v="0"/>
    <n v="0"/>
    <n v="0"/>
    <n v="0"/>
    <n v="0"/>
    <n v="0"/>
    <n v="0"/>
    <n v="0"/>
    <n v="0"/>
    <n v="0"/>
    <n v="0"/>
    <n v="0"/>
    <n v="0"/>
    <n v="0"/>
    <n v="1"/>
  </r>
  <r>
    <x v="17"/>
    <s v="GMB"/>
    <s v="PRGT"/>
    <s v="Extended Credit Facility"/>
    <d v="2007-02-21T00:00:00"/>
    <d v="2010-02-20T00:00:00"/>
    <n v="14000000"/>
    <n v="45"/>
    <s v="N"/>
    <s v="N"/>
    <d v="2011-03-31T00:00:00"/>
    <n v="24880000"/>
    <n v="40"/>
    <n v="22547500"/>
    <n v="0"/>
    <s v="Expired"/>
    <n v="2007"/>
    <n v="2010"/>
    <n v="0"/>
    <n v="0"/>
    <n v="1"/>
    <n v="1"/>
    <n v="1"/>
    <n v="1"/>
    <n v="0"/>
    <n v="0"/>
    <n v="0"/>
    <n v="0"/>
    <n v="0"/>
    <n v="0"/>
    <n v="0"/>
    <n v="0"/>
    <n v="0"/>
    <n v="0"/>
    <n v="0"/>
    <n v="0"/>
    <n v="0"/>
    <n v="0"/>
  </r>
  <r>
    <x v="17"/>
    <s v="GMB"/>
    <s v="PRGT"/>
    <s v="Extended Credit Facility"/>
    <d v="2012-05-25T00:00:00"/>
    <d v="2015-05-24T00:00:00"/>
    <n v="18660000"/>
    <n v="60"/>
    <s v="N"/>
    <s v="N"/>
    <d v="2015-03-20T00:00:00"/>
    <n v="18660000"/>
    <n v="30"/>
    <n v="10885000"/>
    <n v="0"/>
    <s v="Expired"/>
    <n v="2012"/>
    <n v="2015"/>
    <n v="0"/>
    <n v="0"/>
    <n v="0"/>
    <n v="0"/>
    <n v="0"/>
    <n v="0"/>
    <n v="0"/>
    <n v="1"/>
    <n v="1"/>
    <n v="1"/>
    <n v="1"/>
    <n v="0"/>
    <n v="0"/>
    <n v="0"/>
    <n v="0"/>
    <n v="0"/>
    <n v="0"/>
    <n v="0"/>
    <n v="0"/>
    <n v="0"/>
  </r>
  <r>
    <x v="17"/>
    <s v="GMB"/>
    <s v="PRGT"/>
    <s v="Extended Credit Facility"/>
    <d v="2020-03-23T00:00:00"/>
    <d v="2023-06-22T00:00:00"/>
    <n v="35000000"/>
    <n v="56.3"/>
    <s v="N"/>
    <s v="N"/>
    <d v="2023-06-14T00:00:00"/>
    <n v="70550000"/>
    <n v="113.4"/>
    <n v="70550000"/>
    <n v="70550000"/>
    <s v="Expired"/>
    <n v="2020"/>
    <n v="2023"/>
    <n v="0"/>
    <n v="0"/>
    <n v="0"/>
    <n v="0"/>
    <n v="0"/>
    <n v="0"/>
    <n v="0"/>
    <n v="0"/>
    <n v="0"/>
    <n v="0"/>
    <n v="0"/>
    <n v="0"/>
    <n v="0"/>
    <n v="0"/>
    <n v="0"/>
    <n v="1"/>
    <n v="1"/>
    <n v="1"/>
    <n v="1"/>
    <n v="0"/>
  </r>
  <r>
    <x v="17"/>
    <s v="GMB"/>
    <s v="PRGT"/>
    <s v="Extended Credit Facility"/>
    <d v="2024-01-12T00:00:00"/>
    <d v="2027-01-11T00:00:00"/>
    <n v="74640000"/>
    <n v="120"/>
    <s v="N"/>
    <s v="N"/>
    <d v="2027-01-11T00:00:00"/>
    <n v="74640000"/>
    <n v="120"/>
    <n v="24870000"/>
    <n v="24870000"/>
    <s v="Current"/>
    <n v="2024"/>
    <n v="2024"/>
    <n v="0"/>
    <n v="0"/>
    <n v="0"/>
    <n v="0"/>
    <n v="0"/>
    <n v="0"/>
    <n v="0"/>
    <n v="0"/>
    <n v="0"/>
    <n v="0"/>
    <n v="0"/>
    <n v="0"/>
    <n v="0"/>
    <n v="0"/>
    <n v="0"/>
    <n v="0"/>
    <n v="0"/>
    <n v="0"/>
    <n v="0"/>
    <n v="1"/>
  </r>
  <r>
    <x v="18"/>
    <s v="GEO"/>
    <s v="PRGT"/>
    <s v="Standby Credit Facility"/>
    <d v="2012-04-11T00:00:00"/>
    <d v="2014-04-10T00:00:00"/>
    <n v="125000000"/>
    <n v="83.2"/>
    <s v="Y"/>
    <s v="N"/>
    <d v="2014-04-10T00:00:00"/>
    <n v="125000000"/>
    <n v="59.4"/>
    <n v="0"/>
    <n v="0"/>
    <s v="Expired"/>
    <n v="2012"/>
    <n v="2014"/>
    <n v="0"/>
    <n v="0"/>
    <n v="0"/>
    <n v="0"/>
    <n v="0"/>
    <n v="0"/>
    <n v="0"/>
    <n v="1"/>
    <n v="1"/>
    <n v="1"/>
    <n v="0"/>
    <n v="0"/>
    <n v="0"/>
    <n v="0"/>
    <n v="0"/>
    <n v="0"/>
    <n v="0"/>
    <n v="0"/>
    <n v="0"/>
    <n v="0"/>
  </r>
  <r>
    <x v="19"/>
    <s v="GHA"/>
    <s v="PRGT"/>
    <s v="Extended Credit Facility"/>
    <d v="2009-07-15T00:00:00"/>
    <d v="2012-07-14T00:00:00"/>
    <n v="387450000"/>
    <n v="105"/>
    <s v="N"/>
    <s v="N"/>
    <d v="2012-07-23T00:00:00"/>
    <n v="387450000"/>
    <n v="52.5"/>
    <n v="387450000"/>
    <n v="0"/>
    <s v="Expired"/>
    <n v="2009"/>
    <n v="2012"/>
    <n v="0"/>
    <n v="0"/>
    <n v="0"/>
    <n v="0"/>
    <n v="1"/>
    <n v="1"/>
    <n v="1"/>
    <n v="1"/>
    <n v="0"/>
    <n v="0"/>
    <n v="0"/>
    <n v="0"/>
    <n v="0"/>
    <n v="0"/>
    <n v="0"/>
    <n v="0"/>
    <n v="0"/>
    <n v="0"/>
    <n v="0"/>
    <n v="0"/>
  </r>
  <r>
    <x v="19"/>
    <s v="GHA"/>
    <s v="PRGT"/>
    <s v="Extended Credit Facility"/>
    <d v="2015-04-03T00:00:00"/>
    <d v="2018-04-02T00:00:00"/>
    <n v="664200000"/>
    <n v="180"/>
    <s v="N"/>
    <s v="N"/>
    <d v="2019-03-29T00:00:00"/>
    <n v="664200000"/>
    <n v="90"/>
    <n v="664200000"/>
    <n v="335421000"/>
    <s v="Expired"/>
    <n v="2015"/>
    <n v="2018"/>
    <n v="0"/>
    <n v="0"/>
    <n v="0"/>
    <n v="0"/>
    <n v="0"/>
    <n v="0"/>
    <n v="0"/>
    <n v="0"/>
    <n v="0"/>
    <n v="0"/>
    <n v="1"/>
    <n v="1"/>
    <n v="1"/>
    <n v="1"/>
    <n v="0"/>
    <n v="0"/>
    <n v="0"/>
    <n v="0"/>
    <n v="0"/>
    <n v="0"/>
  </r>
  <r>
    <x v="19"/>
    <s v="GHA"/>
    <s v="PRGT"/>
    <s v="Extended Credit Facility"/>
    <d v="2023-05-17T00:00:00"/>
    <d v="2026-05-16T00:00:00"/>
    <n v="2241900000"/>
    <n v="303.8"/>
    <s v="N"/>
    <s v="N"/>
    <d v="2026-05-16T00:00:00"/>
    <n v="2241900000"/>
    <n v="303.8"/>
    <n v="1441000000"/>
    <n v="1441000000"/>
    <s v="Current"/>
    <n v="2023"/>
    <n v="2024"/>
    <n v="0"/>
    <n v="0"/>
    <n v="0"/>
    <n v="0"/>
    <n v="0"/>
    <n v="0"/>
    <n v="0"/>
    <n v="0"/>
    <n v="0"/>
    <n v="0"/>
    <n v="0"/>
    <n v="0"/>
    <n v="0"/>
    <n v="0"/>
    <n v="0"/>
    <n v="0"/>
    <n v="0"/>
    <n v="0"/>
    <n v="1"/>
    <n v="1"/>
  </r>
  <r>
    <x v="20"/>
    <s v="GRD"/>
    <s v="PRGT"/>
    <s v="Extended Credit Facility"/>
    <d v="2006-04-17T00:00:00"/>
    <d v="2009-04-16T00:00:00"/>
    <n v="10530000"/>
    <n v="90"/>
    <s v="N"/>
    <s v="N"/>
    <d v="2010-04-13T00:00:00"/>
    <n v="16380000"/>
    <n v="99.9"/>
    <n v="16380000"/>
    <n v="0"/>
    <s v="Expired"/>
    <n v="2006"/>
    <n v="2009"/>
    <n v="0"/>
    <n v="1"/>
    <n v="1"/>
    <n v="1"/>
    <n v="1"/>
    <n v="0"/>
    <n v="0"/>
    <n v="0"/>
    <n v="0"/>
    <n v="0"/>
    <n v="0"/>
    <n v="0"/>
    <n v="0"/>
    <n v="0"/>
    <n v="0"/>
    <n v="0"/>
    <n v="0"/>
    <n v="0"/>
    <n v="0"/>
    <n v="0"/>
  </r>
  <r>
    <x v="20"/>
    <s v="GRD"/>
    <s v="PRGT"/>
    <s v="Extended Credit Facility"/>
    <d v="2010-04-18T00:00:00"/>
    <d v="2013-04-17T00:00:00"/>
    <n v="8775000"/>
    <n v="75"/>
    <s v="N"/>
    <s v="N"/>
    <d v="2013-04-17T00:00:00"/>
    <n v="8775000"/>
    <n v="53.5"/>
    <n v="2525000"/>
    <n v="0"/>
    <s v="Expired"/>
    <n v="2010"/>
    <n v="2013"/>
    <n v="0"/>
    <n v="0"/>
    <n v="0"/>
    <n v="0"/>
    <n v="0"/>
    <n v="1"/>
    <n v="1"/>
    <n v="1"/>
    <n v="1"/>
    <n v="0"/>
    <n v="0"/>
    <n v="0"/>
    <n v="0"/>
    <n v="0"/>
    <n v="0"/>
    <n v="0"/>
    <n v="0"/>
    <n v="0"/>
    <n v="0"/>
    <n v="0"/>
  </r>
  <r>
    <x v="20"/>
    <s v="GRD"/>
    <s v="PRGT"/>
    <s v="Extended Credit Facility"/>
    <d v="2014-06-26T00:00:00"/>
    <d v="2017-06-25T00:00:00"/>
    <n v="14040000"/>
    <n v="120"/>
    <s v="N"/>
    <s v="N"/>
    <d v="2017-05-26T00:00:00"/>
    <n v="14040000"/>
    <n v="85.6"/>
    <n v="14040000"/>
    <n v="3200000"/>
    <s v="Expired"/>
    <n v="2014"/>
    <n v="2017"/>
    <n v="0"/>
    <n v="0"/>
    <n v="0"/>
    <n v="0"/>
    <n v="0"/>
    <n v="0"/>
    <n v="0"/>
    <n v="0"/>
    <n v="0"/>
    <n v="1"/>
    <n v="1"/>
    <n v="1"/>
    <n v="1"/>
    <n v="0"/>
    <n v="0"/>
    <n v="0"/>
    <n v="0"/>
    <n v="0"/>
    <n v="0"/>
    <n v="0"/>
  </r>
  <r>
    <x v="21"/>
    <s v="GIN"/>
    <s v="PRGT"/>
    <s v="Extended Credit Facility"/>
    <d v="2007-12-21T00:00:00"/>
    <d v="2010-12-20T00:00:00"/>
    <n v="48195000"/>
    <n v="45"/>
    <s v="N"/>
    <s v="N"/>
    <d v="2010-12-20T00:00:00"/>
    <n v="69615000"/>
    <n v="32.5"/>
    <n v="24480000"/>
    <n v="0"/>
    <s v="Expired"/>
    <n v="2007"/>
    <n v="2010"/>
    <n v="0"/>
    <n v="0"/>
    <n v="1"/>
    <n v="1"/>
    <n v="1"/>
    <n v="1"/>
    <n v="0"/>
    <n v="0"/>
    <n v="0"/>
    <n v="0"/>
    <n v="0"/>
    <n v="0"/>
    <n v="0"/>
    <n v="0"/>
    <n v="0"/>
    <n v="0"/>
    <n v="0"/>
    <n v="0"/>
    <n v="0"/>
    <n v="0"/>
  </r>
  <r>
    <x v="21"/>
    <s v="GIN"/>
    <s v="PRGT"/>
    <s v="Extended Credit Facility"/>
    <d v="2012-02-24T00:00:00"/>
    <d v="2015-02-23T00:00:00"/>
    <n v="128520000"/>
    <n v="120"/>
    <s v="N"/>
    <s v="N"/>
    <d v="2016-11-07T00:00:00"/>
    <n v="173655000"/>
    <n v="81.099999999999994"/>
    <n v="173655000"/>
    <n v="17365500"/>
    <s v="Expired"/>
    <n v="2012"/>
    <n v="2015"/>
    <n v="0"/>
    <n v="0"/>
    <n v="0"/>
    <n v="0"/>
    <n v="0"/>
    <n v="0"/>
    <n v="0"/>
    <n v="1"/>
    <n v="1"/>
    <n v="1"/>
    <n v="1"/>
    <n v="0"/>
    <n v="0"/>
    <n v="0"/>
    <n v="0"/>
    <n v="0"/>
    <n v="0"/>
    <n v="0"/>
    <n v="0"/>
    <n v="0"/>
  </r>
  <r>
    <x v="21"/>
    <s v="GIN"/>
    <s v="PRGT"/>
    <s v="Extended Credit Facility"/>
    <d v="2017-12-11T00:00:00"/>
    <d v="2020-12-10T00:00:00"/>
    <n v="120488000"/>
    <n v="56.3"/>
    <s v="N"/>
    <s v="N"/>
    <d v="2020-12-10T00:00:00"/>
    <n v="120488000"/>
    <n v="56.3"/>
    <n v="120488000"/>
    <n v="106718800"/>
    <s v="Expired"/>
    <n v="2017"/>
    <n v="2020"/>
    <n v="0"/>
    <n v="0"/>
    <n v="0"/>
    <n v="0"/>
    <n v="0"/>
    <n v="0"/>
    <n v="0"/>
    <n v="0"/>
    <n v="0"/>
    <n v="0"/>
    <n v="0"/>
    <n v="0"/>
    <n v="1"/>
    <n v="1"/>
    <n v="1"/>
    <n v="1"/>
    <n v="0"/>
    <n v="0"/>
    <n v="0"/>
    <n v="0"/>
  </r>
  <r>
    <x v="22"/>
    <s v="GNB"/>
    <s v="PRGT"/>
    <s v="Extended Credit Facility"/>
    <d v="2010-05-07T00:00:00"/>
    <d v="2013-05-06T00:00:00"/>
    <n v="22365000"/>
    <n v="157.5"/>
    <s v="N"/>
    <s v="N"/>
    <d v="2013-05-06T00:00:00"/>
    <n v="22365000"/>
    <n v="78.8"/>
    <n v="15123000"/>
    <n v="0"/>
    <s v="Expired"/>
    <n v="2010"/>
    <n v="2013"/>
    <n v="0"/>
    <n v="0"/>
    <n v="0"/>
    <n v="0"/>
    <n v="0"/>
    <n v="1"/>
    <n v="1"/>
    <n v="1"/>
    <n v="1"/>
    <n v="0"/>
    <n v="0"/>
    <n v="0"/>
    <n v="0"/>
    <n v="0"/>
    <n v="0"/>
    <n v="0"/>
    <n v="0"/>
    <n v="0"/>
    <n v="0"/>
    <n v="0"/>
  </r>
  <r>
    <x v="22"/>
    <s v="GNB"/>
    <s v="PRGT"/>
    <s v="Extended Credit Facility"/>
    <d v="2015-07-10T00:00:00"/>
    <d v="2018-07-09T00:00:00"/>
    <n v="17040000"/>
    <n v="120"/>
    <s v="N"/>
    <s v="N"/>
    <d v="2019-07-09T00:00:00"/>
    <n v="22720000"/>
    <n v="80"/>
    <n v="17040000"/>
    <n v="8368400"/>
    <s v="Expired"/>
    <n v="2015"/>
    <n v="2018"/>
    <n v="0"/>
    <n v="0"/>
    <n v="0"/>
    <n v="0"/>
    <n v="0"/>
    <n v="0"/>
    <n v="0"/>
    <n v="0"/>
    <n v="0"/>
    <n v="0"/>
    <n v="1"/>
    <n v="1"/>
    <n v="1"/>
    <n v="1"/>
    <n v="0"/>
    <n v="0"/>
    <n v="0"/>
    <n v="0"/>
    <n v="0"/>
    <n v="0"/>
  </r>
  <r>
    <x v="22"/>
    <s v="GNB"/>
    <s v="PRGT"/>
    <s v="Extended Credit Facility"/>
    <d v="2023-01-30T00:00:00"/>
    <d v="2026-01-29T00:00:00"/>
    <n v="28400000"/>
    <n v="100"/>
    <s v="N"/>
    <s v="N"/>
    <d v="2026-01-29T00:00:00"/>
    <n v="39760000"/>
    <n v="140"/>
    <n v="30310000"/>
    <n v="30310000"/>
    <s v="Current"/>
    <n v="2023"/>
    <n v="2024"/>
    <n v="0"/>
    <n v="0"/>
    <n v="0"/>
    <n v="0"/>
    <n v="0"/>
    <n v="0"/>
    <n v="0"/>
    <n v="0"/>
    <n v="0"/>
    <n v="0"/>
    <n v="0"/>
    <n v="0"/>
    <n v="0"/>
    <n v="0"/>
    <n v="0"/>
    <n v="0"/>
    <n v="0"/>
    <n v="0"/>
    <n v="1"/>
    <n v="1"/>
  </r>
  <r>
    <x v="23"/>
    <s v="HTI"/>
    <s v="PRGT"/>
    <s v="Extended Credit Facility"/>
    <d v="2006-11-20T00:00:00"/>
    <d v="2009-11-19T00:00:00"/>
    <n v="73710000"/>
    <n v="90"/>
    <s v="N"/>
    <s v="N"/>
    <d v="2010-01-29T00:00:00"/>
    <n v="180180000"/>
    <n v="110"/>
    <n v="180180000"/>
    <n v="0"/>
    <s v="Expired"/>
    <n v="2006"/>
    <n v="2009"/>
    <n v="0"/>
    <n v="1"/>
    <n v="1"/>
    <n v="1"/>
    <n v="1"/>
    <n v="0"/>
    <n v="0"/>
    <n v="0"/>
    <n v="0"/>
    <n v="0"/>
    <n v="0"/>
    <n v="0"/>
    <n v="0"/>
    <n v="0"/>
    <n v="0"/>
    <n v="0"/>
    <n v="0"/>
    <n v="0"/>
    <n v="0"/>
    <n v="0"/>
  </r>
  <r>
    <x v="23"/>
    <s v="HTI"/>
    <s v="PRGT"/>
    <s v="Extended Credit Facility"/>
    <d v="2010-07-21T00:00:00"/>
    <d v="2013-07-20T00:00:00"/>
    <n v="40950000"/>
    <n v="50"/>
    <s v="N"/>
    <s v="N"/>
    <d v="2014-12-24T00:00:00"/>
    <n v="40950000"/>
    <n v="25"/>
    <n v="40950000"/>
    <n v="0"/>
    <s v="Expired"/>
    <n v="2010"/>
    <n v="2013"/>
    <n v="0"/>
    <n v="0"/>
    <n v="0"/>
    <n v="0"/>
    <n v="0"/>
    <n v="1"/>
    <n v="1"/>
    <n v="1"/>
    <n v="1"/>
    <n v="0"/>
    <n v="0"/>
    <n v="0"/>
    <n v="0"/>
    <n v="0"/>
    <n v="0"/>
    <n v="0"/>
    <n v="0"/>
    <n v="0"/>
    <n v="0"/>
    <n v="0"/>
  </r>
  <r>
    <x v="23"/>
    <s v="HTI"/>
    <s v="PRGT"/>
    <s v="Extended Credit Facility"/>
    <d v="2015-05-18T00:00:00"/>
    <d v="2018-05-17T00:00:00"/>
    <n v="49140000"/>
    <n v="60"/>
    <s v="N"/>
    <s v="N"/>
    <d v="2016-11-17T00:00:00"/>
    <n v="49140000"/>
    <n v="30"/>
    <n v="7020000"/>
    <n v="702000"/>
    <s v="Expired"/>
    <n v="2015"/>
    <n v="2018"/>
    <n v="0"/>
    <n v="0"/>
    <n v="0"/>
    <n v="0"/>
    <n v="0"/>
    <n v="0"/>
    <n v="0"/>
    <n v="0"/>
    <n v="0"/>
    <n v="0"/>
    <n v="1"/>
    <n v="1"/>
    <n v="1"/>
    <n v="1"/>
    <n v="0"/>
    <n v="0"/>
    <n v="0"/>
    <n v="0"/>
    <n v="0"/>
    <n v="0"/>
  </r>
  <r>
    <x v="24"/>
    <s v="HND"/>
    <s v="PRGT"/>
    <s v="Standby Credit Facility"/>
    <d v="2010-10-01T00:00:00"/>
    <d v="2012-03-31T00:00:00"/>
    <n v="64750000"/>
    <n v="50"/>
    <s v="Y"/>
    <s v="N"/>
    <d v="2012-03-31T00:00:00"/>
    <n v="64750000"/>
    <n v="25.9"/>
    <n v="0"/>
    <n v="0"/>
    <s v="Expired"/>
    <n v="2010"/>
    <n v="2012"/>
    <n v="0"/>
    <n v="0"/>
    <n v="0"/>
    <n v="0"/>
    <n v="0"/>
    <n v="1"/>
    <n v="1"/>
    <n v="1"/>
    <n v="0"/>
    <n v="0"/>
    <n v="0"/>
    <n v="0"/>
    <n v="0"/>
    <n v="0"/>
    <n v="0"/>
    <n v="0"/>
    <n v="0"/>
    <n v="0"/>
    <n v="0"/>
    <n v="0"/>
  </r>
  <r>
    <x v="24"/>
    <s v="HND"/>
    <s v="PRGT"/>
    <s v="Standby Credit Facility"/>
    <d v="2014-12-03T00:00:00"/>
    <d v="2016-12-02T00:00:00"/>
    <n v="51800000"/>
    <n v="40"/>
    <s v="Y"/>
    <s v="N"/>
    <d v="2016-12-02T00:00:00"/>
    <n v="51800000"/>
    <n v="20.7"/>
    <n v="0"/>
    <n v="0"/>
    <s v="Expired"/>
    <n v="2014"/>
    <n v="2016"/>
    <n v="0"/>
    <n v="0"/>
    <n v="0"/>
    <n v="0"/>
    <n v="0"/>
    <n v="0"/>
    <n v="0"/>
    <n v="0"/>
    <n v="0"/>
    <n v="1"/>
    <n v="1"/>
    <n v="1"/>
    <n v="0"/>
    <n v="0"/>
    <n v="0"/>
    <n v="0"/>
    <n v="0"/>
    <n v="0"/>
    <n v="0"/>
    <n v="0"/>
  </r>
  <r>
    <x v="24"/>
    <s v="HND"/>
    <s v="PRGT"/>
    <s v="Standby Credit Facility"/>
    <d v="2019-07-15T00:00:00"/>
    <d v="2021-07-14T00:00:00"/>
    <n v="74940000"/>
    <n v="30"/>
    <s v="Y"/>
    <s v="N"/>
    <d v="2022-01-14T00:00:00"/>
    <n v="179023000"/>
    <n v="71.7"/>
    <n v="143218000"/>
    <n v="120088444"/>
    <s v="Expired"/>
    <n v="2019"/>
    <n v="2021"/>
    <n v="0"/>
    <n v="0"/>
    <n v="0"/>
    <n v="0"/>
    <n v="0"/>
    <n v="0"/>
    <n v="0"/>
    <n v="0"/>
    <n v="0"/>
    <n v="0"/>
    <n v="0"/>
    <n v="0"/>
    <n v="0"/>
    <n v="0"/>
    <n v="1"/>
    <n v="1"/>
    <n v="1"/>
    <n v="0"/>
    <n v="0"/>
    <n v="0"/>
  </r>
  <r>
    <x v="24"/>
    <s v="HND"/>
    <s v="PRGT"/>
    <s v="Extended Credit Facility"/>
    <d v="2023-09-21T00:00:00"/>
    <d v="2026-09-20T00:00:00"/>
    <n v="208200000"/>
    <n v="83.3"/>
    <s v="N"/>
    <s v="N"/>
    <d v="2026-09-20T00:00:00"/>
    <n v="208200000"/>
    <n v="83.3"/>
    <n v="79750000"/>
    <n v="79750000"/>
    <s v="Current"/>
    <n v="2023"/>
    <n v="2024"/>
    <n v="0"/>
    <n v="0"/>
    <n v="0"/>
    <n v="0"/>
    <n v="0"/>
    <n v="0"/>
    <n v="0"/>
    <n v="0"/>
    <n v="0"/>
    <n v="0"/>
    <n v="0"/>
    <n v="0"/>
    <n v="0"/>
    <n v="0"/>
    <n v="0"/>
    <n v="0"/>
    <n v="0"/>
    <n v="0"/>
    <n v="1"/>
    <n v="1"/>
  </r>
  <r>
    <x v="25"/>
    <s v="KEN"/>
    <s v="PRGT"/>
    <s v="Extended Credit Facility"/>
    <d v="2011-01-31T00:00:00"/>
    <d v="2014-01-30T00:00:00"/>
    <n v="325680000"/>
    <n v="120"/>
    <s v="N"/>
    <s v="N"/>
    <d v="2013-12-19T00:00:00"/>
    <n v="488520000"/>
    <n v="90"/>
    <n v="488520000"/>
    <n v="0"/>
    <s v="Expired"/>
    <n v="2011"/>
    <n v="2014"/>
    <n v="0"/>
    <n v="0"/>
    <n v="0"/>
    <n v="0"/>
    <n v="0"/>
    <n v="0"/>
    <n v="1"/>
    <n v="1"/>
    <n v="1"/>
    <n v="1"/>
    <n v="0"/>
    <n v="0"/>
    <n v="0"/>
    <n v="0"/>
    <n v="0"/>
    <n v="0"/>
    <n v="0"/>
    <n v="0"/>
    <n v="0"/>
    <n v="0"/>
  </r>
  <r>
    <x v="25"/>
    <s v="KEN"/>
    <s v="PRGT"/>
    <s v="Standby Credit Facility"/>
    <d v="2015-02-02T00:00:00"/>
    <d v="2016-02-01T00:00:00"/>
    <n v="135700000"/>
    <n v="50"/>
    <s v="Y"/>
    <s v="N"/>
    <d v="2016-03-14T00:00:00"/>
    <n v="135700000"/>
    <n v="25"/>
    <n v="0"/>
    <n v="0"/>
    <s v="Expired"/>
    <n v="2015"/>
    <n v="2016"/>
    <n v="0"/>
    <n v="0"/>
    <n v="0"/>
    <n v="0"/>
    <n v="0"/>
    <n v="0"/>
    <n v="0"/>
    <n v="0"/>
    <n v="0"/>
    <n v="0"/>
    <n v="1"/>
    <n v="1"/>
    <n v="0"/>
    <n v="0"/>
    <n v="0"/>
    <n v="0"/>
    <n v="0"/>
    <n v="0"/>
    <n v="0"/>
    <n v="0"/>
  </r>
  <r>
    <x v="25"/>
    <s v="KEN"/>
    <s v="PRGT"/>
    <s v="Standby Credit Facility"/>
    <d v="2016-03-14T00:00:00"/>
    <d v="2018-03-13T00:00:00"/>
    <n v="354629000"/>
    <n v="65.3"/>
    <s v="Y"/>
    <s v="N"/>
    <d v="2018-03-13T00:00:00"/>
    <n v="354629000"/>
    <n v="65.3"/>
    <n v="0"/>
    <n v="0"/>
    <s v="Expired"/>
    <n v="2016"/>
    <n v="2018"/>
    <n v="0"/>
    <n v="0"/>
    <n v="0"/>
    <n v="0"/>
    <n v="0"/>
    <n v="0"/>
    <n v="0"/>
    <n v="0"/>
    <n v="0"/>
    <n v="0"/>
    <n v="0"/>
    <n v="1"/>
    <n v="1"/>
    <n v="1"/>
    <n v="0"/>
    <n v="0"/>
    <n v="0"/>
    <n v="0"/>
    <n v="0"/>
    <n v="0"/>
  </r>
  <r>
    <x v="25"/>
    <s v="KEN"/>
    <s v="PRGT"/>
    <s v="Extended Credit Facility"/>
    <d v="2021-04-02T00:00:00"/>
    <d v="2024-06-01T00:00:00"/>
    <n v="407090000"/>
    <n v="75"/>
    <s v="N"/>
    <s v="N"/>
    <d v="2025-04-01T00:00:00"/>
    <n v="904700000"/>
    <n v="166.7"/>
    <n v="824360000"/>
    <n v="824360000"/>
    <s v="Current"/>
    <n v="2021"/>
    <n v="2024"/>
    <n v="0"/>
    <n v="0"/>
    <n v="0"/>
    <n v="0"/>
    <n v="0"/>
    <n v="0"/>
    <n v="0"/>
    <n v="0"/>
    <n v="0"/>
    <n v="0"/>
    <n v="0"/>
    <n v="0"/>
    <n v="0"/>
    <n v="0"/>
    <n v="0"/>
    <n v="0"/>
    <n v="1"/>
    <n v="1"/>
    <n v="1"/>
    <n v="1"/>
  </r>
  <r>
    <x v="26"/>
    <s v="KGZ"/>
    <s v="PRGT"/>
    <s v="Extended Credit Facility"/>
    <d v="2005-03-15T00:00:00"/>
    <d v="2008-03-14T00:00:00"/>
    <n v="8880000"/>
    <n v="10"/>
    <s v="N"/>
    <s v="N"/>
    <d v="2008-05-30T00:00:00"/>
    <n v="17760000"/>
    <n v="10"/>
    <n v="17760000"/>
    <n v="0"/>
    <s v="Expired"/>
    <n v="2005"/>
    <n v="2008"/>
    <n v="1"/>
    <n v="1"/>
    <n v="1"/>
    <n v="1"/>
    <n v="0"/>
    <n v="0"/>
    <n v="0"/>
    <n v="0"/>
    <n v="0"/>
    <n v="0"/>
    <n v="0"/>
    <n v="0"/>
    <n v="0"/>
    <n v="0"/>
    <n v="0"/>
    <n v="0"/>
    <n v="0"/>
    <n v="0"/>
    <n v="0"/>
    <n v="0"/>
  </r>
  <r>
    <x v="26"/>
    <s v="KGZ"/>
    <s v="PRGT"/>
    <s v="Exogenous Shocks Facility"/>
    <d v="2008-12-10T00:00:00"/>
    <d v="2010-06-09T00:00:00"/>
    <n v="66600000"/>
    <n v="75"/>
    <s v="N"/>
    <s v="N"/>
    <d v="2010-06-09T00:00:00"/>
    <n v="66600000"/>
    <n v="37.5"/>
    <n v="33300000"/>
    <n v="0"/>
    <s v="Expired"/>
    <n v="2008"/>
    <n v="2010"/>
    <n v="0"/>
    <n v="0"/>
    <n v="0"/>
    <n v="1"/>
    <n v="1"/>
    <n v="1"/>
    <n v="0"/>
    <n v="0"/>
    <n v="0"/>
    <n v="0"/>
    <n v="0"/>
    <n v="0"/>
    <n v="0"/>
    <n v="0"/>
    <n v="0"/>
    <n v="0"/>
    <n v="0"/>
    <n v="0"/>
    <n v="0"/>
    <n v="0"/>
  </r>
  <r>
    <x v="26"/>
    <s v="KGZ"/>
    <s v="PRGT"/>
    <s v="Extended Credit Facility"/>
    <d v="2011-06-20T00:00:00"/>
    <d v="2014-06-19T00:00:00"/>
    <n v="66600000"/>
    <n v="75"/>
    <s v="N"/>
    <s v="N"/>
    <d v="2014-07-07T00:00:00"/>
    <n v="66600000"/>
    <n v="37.5"/>
    <n v="66600000"/>
    <n v="0"/>
    <s v="Expired"/>
    <n v="2011"/>
    <n v="2014"/>
    <n v="0"/>
    <n v="0"/>
    <n v="0"/>
    <n v="0"/>
    <n v="0"/>
    <n v="0"/>
    <n v="1"/>
    <n v="1"/>
    <n v="1"/>
    <n v="1"/>
    <n v="0"/>
    <n v="0"/>
    <n v="0"/>
    <n v="0"/>
    <n v="0"/>
    <n v="0"/>
    <n v="0"/>
    <n v="0"/>
    <n v="0"/>
    <n v="0"/>
  </r>
  <r>
    <x v="26"/>
    <s v="KGZ"/>
    <s v="PRGT"/>
    <s v="Extended Credit Facility"/>
    <d v="2015-04-08T00:00:00"/>
    <d v="2018-04-07T00:00:00"/>
    <n v="66600000"/>
    <n v="75"/>
    <s v="N"/>
    <s v="N"/>
    <d v="2018-04-07T00:00:00"/>
    <n v="66600000"/>
    <n v="37.5"/>
    <n v="57084000"/>
    <n v="20930800"/>
    <s v="Expired"/>
    <n v="2015"/>
    <n v="2018"/>
    <n v="0"/>
    <n v="0"/>
    <n v="0"/>
    <n v="0"/>
    <n v="0"/>
    <n v="0"/>
    <n v="0"/>
    <n v="0"/>
    <n v="0"/>
    <n v="0"/>
    <n v="1"/>
    <n v="1"/>
    <n v="1"/>
    <n v="1"/>
    <n v="0"/>
    <n v="0"/>
    <n v="0"/>
    <n v="0"/>
    <n v="0"/>
    <n v="0"/>
  </r>
  <r>
    <x v="27"/>
    <s v="LSO"/>
    <s v="PRGT"/>
    <s v="Extended Credit Facility"/>
    <d v="2010-06-02T00:00:00"/>
    <d v="2013-06-01T00:00:00"/>
    <n v="41880000"/>
    <n v="120"/>
    <s v="N"/>
    <s v="N"/>
    <d v="2013-09-17T00:00:00"/>
    <n v="50605000"/>
    <n v="72.5"/>
    <n v="50605000"/>
    <n v="0"/>
    <s v="Expired"/>
    <n v="2010"/>
    <n v="2013"/>
    <n v="0"/>
    <n v="0"/>
    <n v="0"/>
    <n v="0"/>
    <n v="0"/>
    <n v="1"/>
    <n v="1"/>
    <n v="1"/>
    <n v="1"/>
    <n v="0"/>
    <n v="0"/>
    <n v="0"/>
    <n v="0"/>
    <n v="0"/>
    <n v="0"/>
    <n v="0"/>
    <n v="0"/>
    <n v="0"/>
    <n v="0"/>
    <n v="0"/>
  </r>
  <r>
    <x v="28"/>
    <s v="LBR"/>
    <s v="PRGT"/>
    <s v="Extended Credit Facility"/>
    <d v="2008-03-14T00:00:00"/>
    <d v="2011-03-13T00:00:00"/>
    <n v="239020000"/>
    <n v="185"/>
    <s v="N"/>
    <s v="N"/>
    <d v="2012-05-17T00:00:00"/>
    <n v="247900000"/>
    <n v="95.9"/>
    <n v="247900000"/>
    <n v="0"/>
    <s v="Expired"/>
    <n v="2008"/>
    <n v="2011"/>
    <n v="0"/>
    <n v="0"/>
    <n v="0"/>
    <n v="1"/>
    <n v="1"/>
    <n v="1"/>
    <n v="1"/>
    <n v="0"/>
    <n v="0"/>
    <n v="0"/>
    <n v="0"/>
    <n v="0"/>
    <n v="0"/>
    <n v="0"/>
    <n v="0"/>
    <n v="0"/>
    <n v="0"/>
    <n v="0"/>
    <n v="0"/>
    <n v="0"/>
  </r>
  <r>
    <x v="28"/>
    <s v="LBR"/>
    <s v="PRGT"/>
    <s v="Extended Credit Facility"/>
    <d v="2012-11-19T00:00:00"/>
    <d v="2015-11-18T00:00:00"/>
    <n v="51680000"/>
    <n v="40"/>
    <s v="N"/>
    <s v="N"/>
    <d v="2017-11-17T00:00:00"/>
    <n v="111664000"/>
    <n v="43.2"/>
    <n v="111664000"/>
    <n v="21410800"/>
    <s v="Expired"/>
    <n v="2012"/>
    <n v="2015"/>
    <n v="0"/>
    <n v="0"/>
    <n v="0"/>
    <n v="0"/>
    <n v="0"/>
    <n v="0"/>
    <n v="0"/>
    <n v="1"/>
    <n v="1"/>
    <n v="1"/>
    <n v="1"/>
    <n v="0"/>
    <n v="0"/>
    <n v="0"/>
    <n v="0"/>
    <n v="0"/>
    <n v="0"/>
    <n v="0"/>
    <n v="0"/>
    <n v="0"/>
  </r>
  <r>
    <x v="28"/>
    <s v="LBR"/>
    <s v="PRGT"/>
    <s v="Extended Credit Facility"/>
    <d v="2019-12-11T00:00:00"/>
    <d v="2023-12-10T00:00:00"/>
    <n v="155000000"/>
    <n v="60"/>
    <s v="N"/>
    <s v="N"/>
    <d v="2023-12-10T00:00:00"/>
    <n v="155000000"/>
    <n v="60"/>
    <n v="85000000"/>
    <n v="85000000"/>
    <s v="Expired"/>
    <n v="2019"/>
    <n v="2023"/>
    <n v="0"/>
    <n v="0"/>
    <n v="0"/>
    <n v="0"/>
    <n v="0"/>
    <n v="0"/>
    <n v="0"/>
    <n v="0"/>
    <n v="0"/>
    <n v="0"/>
    <n v="0"/>
    <n v="0"/>
    <n v="0"/>
    <n v="0"/>
    <n v="1"/>
    <n v="1"/>
    <n v="1"/>
    <n v="1"/>
    <n v="1"/>
    <n v="0"/>
  </r>
  <r>
    <x v="28"/>
    <s v="LBR"/>
    <s v="PRGT"/>
    <s v="Extended Credit Facility"/>
    <d v="2024-09-25T00:00:00"/>
    <d v="2028-01-24T00:00:00"/>
    <n v="155000000"/>
    <n v="60"/>
    <s v="N"/>
    <s v="N"/>
    <d v="2028-01-24T00:00:00"/>
    <n v="155000000"/>
    <n v="60"/>
    <n v="4300000"/>
    <n v="4300000"/>
    <s v="Current"/>
    <n v="2024"/>
    <n v="2024"/>
    <n v="0"/>
    <n v="0"/>
    <n v="0"/>
    <n v="0"/>
    <n v="0"/>
    <n v="0"/>
    <n v="0"/>
    <n v="0"/>
    <n v="0"/>
    <n v="0"/>
    <n v="0"/>
    <n v="0"/>
    <n v="0"/>
    <n v="0"/>
    <n v="0"/>
    <n v="0"/>
    <n v="0"/>
    <n v="0"/>
    <n v="0"/>
    <n v="1"/>
  </r>
  <r>
    <x v="29"/>
    <s v="MDG"/>
    <s v="PRGT"/>
    <s v="Extended Credit Facility"/>
    <d v="2006-07-21T00:00:00"/>
    <d v="2009-07-20T00:00:00"/>
    <n v="54990000"/>
    <n v="45"/>
    <s v="N"/>
    <s v="N"/>
    <d v="2009-07-20T00:00:00"/>
    <n v="73320000"/>
    <n v="30"/>
    <n v="53030000"/>
    <n v="0"/>
    <s v="Expired"/>
    <n v="2006"/>
    <n v="2009"/>
    <n v="0"/>
    <n v="1"/>
    <n v="1"/>
    <n v="1"/>
    <n v="1"/>
    <n v="0"/>
    <n v="0"/>
    <n v="0"/>
    <n v="0"/>
    <n v="0"/>
    <n v="0"/>
    <n v="0"/>
    <n v="0"/>
    <n v="0"/>
    <n v="0"/>
    <n v="0"/>
    <n v="0"/>
    <n v="0"/>
    <n v="0"/>
    <n v="0"/>
  </r>
  <r>
    <x v="29"/>
    <s v="MDG"/>
    <s v="PRGT"/>
    <s v="Extended Credit Facility"/>
    <d v="2016-07-27T00:00:00"/>
    <d v="2019-11-26T00:00:00"/>
    <n v="220000000"/>
    <n v="180"/>
    <s v="N"/>
    <s v="N"/>
    <d v="2020-02-06T00:00:00"/>
    <n v="250550000"/>
    <n v="102.5"/>
    <n v="250550000"/>
    <n v="184902400"/>
    <s v="Expired"/>
    <n v="2016"/>
    <n v="2019"/>
    <n v="0"/>
    <n v="0"/>
    <n v="0"/>
    <n v="0"/>
    <n v="0"/>
    <n v="0"/>
    <n v="0"/>
    <n v="0"/>
    <n v="0"/>
    <n v="0"/>
    <n v="0"/>
    <n v="1"/>
    <n v="1"/>
    <n v="1"/>
    <n v="1"/>
    <n v="0"/>
    <n v="0"/>
    <n v="0"/>
    <n v="0"/>
    <n v="0"/>
  </r>
  <r>
    <x v="29"/>
    <s v="MDG"/>
    <s v="PRGT"/>
    <s v="Extended Credit Facility"/>
    <d v="2021-03-29T00:00:00"/>
    <d v="2024-07-28T00:00:00"/>
    <n v="219960000"/>
    <n v="90"/>
    <s v="N"/>
    <s v="N"/>
    <d v="2024-06-07T00:00:00"/>
    <n v="219960000"/>
    <n v="90"/>
    <n v="171080000"/>
    <n v="171080000"/>
    <s v="Expired"/>
    <n v="2021"/>
    <n v="2024"/>
    <n v="0"/>
    <n v="0"/>
    <n v="0"/>
    <n v="0"/>
    <n v="0"/>
    <n v="0"/>
    <n v="0"/>
    <n v="0"/>
    <n v="0"/>
    <n v="0"/>
    <n v="0"/>
    <n v="0"/>
    <n v="0"/>
    <n v="0"/>
    <n v="0"/>
    <n v="0"/>
    <n v="1"/>
    <n v="1"/>
    <n v="1"/>
    <n v="1"/>
  </r>
  <r>
    <x v="29"/>
    <s v="MDG"/>
    <s v="PRGT"/>
    <s v="Extended Credit Facility"/>
    <d v="2024-06-21T00:00:00"/>
    <d v="2027-06-20T00:00:00"/>
    <n v="256620000"/>
    <n v="105"/>
    <s v="N"/>
    <s v="N"/>
    <d v="2027-06-20T00:00:00"/>
    <n v="256620000"/>
    <n v="105"/>
    <n v="36660000"/>
    <n v="36660000"/>
    <s v="Current"/>
    <n v="2024"/>
    <n v="2024"/>
    <n v="0"/>
    <n v="0"/>
    <n v="0"/>
    <n v="0"/>
    <n v="0"/>
    <n v="0"/>
    <n v="0"/>
    <n v="0"/>
    <n v="0"/>
    <n v="0"/>
    <n v="0"/>
    <n v="0"/>
    <n v="0"/>
    <n v="0"/>
    <n v="0"/>
    <n v="0"/>
    <n v="0"/>
    <n v="0"/>
    <n v="0"/>
    <n v="1"/>
  </r>
  <r>
    <x v="30"/>
    <s v="MWI"/>
    <s v="PRGT"/>
    <s v="Extended Credit Facility"/>
    <d v="2005-08-05T00:00:00"/>
    <d v="2008-08-04T00:00:00"/>
    <n v="38170000"/>
    <n v="55"/>
    <s v="N"/>
    <s v="N"/>
    <d v="2008-07-28T00:00:00"/>
    <n v="48580000"/>
    <n v="35"/>
    <n v="48580000"/>
    <n v="0"/>
    <s v="Expired"/>
    <n v="2005"/>
    <n v="2008"/>
    <n v="1"/>
    <n v="1"/>
    <n v="1"/>
    <n v="1"/>
    <n v="0"/>
    <n v="0"/>
    <n v="0"/>
    <n v="0"/>
    <n v="0"/>
    <n v="0"/>
    <n v="0"/>
    <n v="0"/>
    <n v="0"/>
    <n v="0"/>
    <n v="0"/>
    <n v="0"/>
    <n v="0"/>
    <n v="0"/>
    <n v="0"/>
    <n v="0"/>
  </r>
  <r>
    <x v="30"/>
    <s v="MWI"/>
    <s v="PRGT"/>
    <s v="Exogenous Shocks Facility"/>
    <d v="2008-12-03T00:00:00"/>
    <d v="2009-12-02T00:00:00"/>
    <n v="52050000"/>
    <n v="75"/>
    <s v="N"/>
    <s v="N"/>
    <d v="2009-12-02T00:00:00"/>
    <n v="52050000"/>
    <n v="37.5"/>
    <n v="34700000"/>
    <n v="0"/>
    <s v="Expired"/>
    <n v="2008"/>
    <n v="2009"/>
    <n v="0"/>
    <n v="0"/>
    <n v="0"/>
    <n v="1"/>
    <n v="1"/>
    <n v="0"/>
    <n v="0"/>
    <n v="0"/>
    <n v="0"/>
    <n v="0"/>
    <n v="0"/>
    <n v="0"/>
    <n v="0"/>
    <n v="0"/>
    <n v="0"/>
    <n v="0"/>
    <n v="0"/>
    <n v="0"/>
    <n v="0"/>
    <n v="0"/>
  </r>
  <r>
    <x v="30"/>
    <s v="MWI"/>
    <s v="PRGT"/>
    <s v="Extended Credit Facility"/>
    <d v="2010-02-19T00:00:00"/>
    <d v="2013-02-18T00:00:00"/>
    <n v="52050000"/>
    <n v="75"/>
    <s v="N"/>
    <s v="N"/>
    <d v="2012-07-22T00:00:00"/>
    <n v="52050000"/>
    <n v="37.5"/>
    <n v="13880000"/>
    <n v="0"/>
    <s v="Expired"/>
    <n v="2010"/>
    <n v="2013"/>
    <n v="0"/>
    <n v="0"/>
    <n v="0"/>
    <n v="0"/>
    <n v="0"/>
    <n v="1"/>
    <n v="1"/>
    <n v="1"/>
    <n v="1"/>
    <n v="0"/>
    <n v="0"/>
    <n v="0"/>
    <n v="0"/>
    <n v="0"/>
    <n v="0"/>
    <n v="0"/>
    <n v="0"/>
    <n v="0"/>
    <n v="0"/>
    <n v="0"/>
  </r>
  <r>
    <x v="30"/>
    <s v="MWI"/>
    <s v="PRGT"/>
    <s v="Extended Credit Facility"/>
    <d v="2012-07-23T00:00:00"/>
    <d v="2015-07-22T00:00:00"/>
    <n v="104100000"/>
    <n v="150"/>
    <s v="N"/>
    <s v="N"/>
    <d v="2017-06-29T00:00:00"/>
    <n v="138800000"/>
    <n v="100"/>
    <n v="138800000"/>
    <n v="27318000"/>
    <s v="Expired"/>
    <n v="2012"/>
    <n v="2015"/>
    <n v="0"/>
    <n v="0"/>
    <n v="0"/>
    <n v="0"/>
    <n v="0"/>
    <n v="0"/>
    <n v="0"/>
    <n v="1"/>
    <n v="1"/>
    <n v="1"/>
    <n v="1"/>
    <n v="0"/>
    <n v="0"/>
    <n v="0"/>
    <n v="0"/>
    <n v="0"/>
    <n v="0"/>
    <n v="0"/>
    <n v="0"/>
    <n v="0"/>
  </r>
  <r>
    <x v="30"/>
    <s v="MWI"/>
    <s v="PRGT"/>
    <s v="Extended Credit Facility"/>
    <d v="2018-04-30T00:00:00"/>
    <d v="2021-04-29T00:00:00"/>
    <n v="78075000"/>
    <n v="56.3"/>
    <s v="N"/>
    <s v="N"/>
    <d v="2020-09-24T00:00:00"/>
    <n v="105835000"/>
    <n v="76.3"/>
    <n v="53850000"/>
    <n v="48275000"/>
    <s v="Expired"/>
    <n v="2018"/>
    <n v="2021"/>
    <n v="0"/>
    <n v="0"/>
    <n v="0"/>
    <n v="0"/>
    <n v="0"/>
    <n v="0"/>
    <n v="0"/>
    <n v="0"/>
    <n v="0"/>
    <n v="0"/>
    <n v="0"/>
    <n v="0"/>
    <n v="0"/>
    <n v="1"/>
    <n v="1"/>
    <n v="1"/>
    <n v="1"/>
    <n v="0"/>
    <n v="0"/>
    <n v="0"/>
  </r>
  <r>
    <x v="30"/>
    <s v="MWI"/>
    <s v="PRGT"/>
    <s v="Extended Credit Facility"/>
    <d v="2023-11-15T00:00:00"/>
    <d v="2027-11-14T00:00:00"/>
    <n v="131860000"/>
    <n v="95"/>
    <s v="N"/>
    <s v="N"/>
    <d v="2027-11-14T00:00:00"/>
    <n v="131860000"/>
    <n v="95"/>
    <n v="26372000"/>
    <n v="26372000"/>
    <s v="Current"/>
    <n v="2023"/>
    <n v="2024"/>
    <n v="0"/>
    <n v="0"/>
    <n v="0"/>
    <n v="0"/>
    <n v="0"/>
    <n v="0"/>
    <n v="0"/>
    <n v="0"/>
    <n v="0"/>
    <n v="0"/>
    <n v="0"/>
    <n v="0"/>
    <n v="0"/>
    <n v="0"/>
    <n v="0"/>
    <n v="0"/>
    <n v="0"/>
    <n v="0"/>
    <n v="1"/>
    <n v="1"/>
  </r>
  <r>
    <x v="31"/>
    <s v="MDV"/>
    <s v="PRGT"/>
    <s v="Exogenous Shocks Facility"/>
    <d v="2009-12-04T00:00:00"/>
    <d v="2011-12-03T00:00:00"/>
    <n v="8200000"/>
    <n v="100"/>
    <s v="N"/>
    <s v="N"/>
    <d v="2011-12-03T00:00:00"/>
    <n v="8200000"/>
    <n v="38.700000000000003"/>
    <n v="2050000"/>
    <n v="0"/>
    <s v="Expired"/>
    <n v="2009"/>
    <n v="2011"/>
    <n v="0"/>
    <n v="0"/>
    <n v="0"/>
    <n v="0"/>
    <n v="1"/>
    <n v="1"/>
    <n v="1"/>
    <n v="0"/>
    <n v="0"/>
    <n v="0"/>
    <n v="0"/>
    <n v="0"/>
    <n v="0"/>
    <n v="0"/>
    <n v="0"/>
    <n v="0"/>
    <n v="0"/>
    <n v="0"/>
    <n v="0"/>
    <n v="0"/>
  </r>
  <r>
    <x v="32"/>
    <s v="MLI"/>
    <s v="PRGT"/>
    <s v="Extended Credit Facility"/>
    <d v="2008-05-28T00:00:00"/>
    <d v="2011-05-27T00:00:00"/>
    <n v="27990000"/>
    <n v="30"/>
    <s v="N"/>
    <s v="N"/>
    <d v="2011-12-22T00:00:00"/>
    <n v="52990000"/>
    <n v="28.4"/>
    <n v="52990000"/>
    <n v="0"/>
    <s v="Expired"/>
    <n v="2008"/>
    <n v="2011"/>
    <n v="0"/>
    <n v="0"/>
    <n v="0"/>
    <n v="1"/>
    <n v="1"/>
    <n v="1"/>
    <n v="1"/>
    <n v="0"/>
    <n v="0"/>
    <n v="0"/>
    <n v="0"/>
    <n v="0"/>
    <n v="0"/>
    <n v="0"/>
    <n v="0"/>
    <n v="0"/>
    <n v="0"/>
    <n v="0"/>
    <n v="0"/>
    <n v="0"/>
  </r>
  <r>
    <x v="32"/>
    <s v="MLI"/>
    <s v="PRGT"/>
    <s v="Extended Credit Facility"/>
    <d v="2011-12-27T00:00:00"/>
    <d v="2014-12-26T00:00:00"/>
    <n v="30000000"/>
    <n v="32.200000000000003"/>
    <s v="N"/>
    <s v="N"/>
    <d v="2013-01-10T00:00:00"/>
    <n v="30000000"/>
    <n v="16.100000000000001"/>
    <n v="6000000"/>
    <n v="0"/>
    <s v="Expired"/>
    <n v="2011"/>
    <n v="2014"/>
    <n v="0"/>
    <n v="0"/>
    <n v="0"/>
    <n v="0"/>
    <n v="0"/>
    <n v="0"/>
    <n v="1"/>
    <n v="1"/>
    <n v="1"/>
    <n v="1"/>
    <n v="0"/>
    <n v="0"/>
    <n v="0"/>
    <n v="0"/>
    <n v="0"/>
    <n v="0"/>
    <n v="0"/>
    <n v="0"/>
    <n v="0"/>
    <n v="0"/>
  </r>
  <r>
    <x v="32"/>
    <s v="MLI"/>
    <s v="PRGT"/>
    <s v="Extended Credit Facility"/>
    <d v="2013-12-18T00:00:00"/>
    <d v="2016-12-17T00:00:00"/>
    <n v="30000000"/>
    <n v="32.200000000000003"/>
    <s v="N"/>
    <s v="N"/>
    <d v="2018-12-17T00:00:00"/>
    <n v="186600000"/>
    <n v="100"/>
    <n v="186600000"/>
    <n v="103120000"/>
    <s v="Expired"/>
    <n v="2013"/>
    <n v="2016"/>
    <n v="0"/>
    <n v="0"/>
    <n v="0"/>
    <n v="0"/>
    <n v="0"/>
    <n v="0"/>
    <n v="0"/>
    <n v="0"/>
    <n v="1"/>
    <n v="1"/>
    <n v="1"/>
    <n v="1"/>
    <n v="0"/>
    <n v="0"/>
    <n v="0"/>
    <n v="0"/>
    <n v="0"/>
    <n v="0"/>
    <n v="0"/>
    <n v="0"/>
  </r>
  <r>
    <x v="32"/>
    <s v="MLI"/>
    <s v="PRGT"/>
    <s v="Extended Credit Facility"/>
    <d v="2019-08-28T00:00:00"/>
    <d v="2022-08-27T00:00:00"/>
    <n v="139950000"/>
    <n v="75"/>
    <s v="N"/>
    <s v="N"/>
    <d v="2022-08-21T00:00:00"/>
    <n v="139950000"/>
    <n v="75"/>
    <n v="80000000"/>
    <n v="80000000"/>
    <s v="Expired"/>
    <n v="2019"/>
    <n v="2022"/>
    <n v="0"/>
    <n v="0"/>
    <n v="0"/>
    <n v="0"/>
    <n v="0"/>
    <n v="0"/>
    <n v="0"/>
    <n v="0"/>
    <n v="0"/>
    <n v="0"/>
    <n v="0"/>
    <n v="0"/>
    <n v="0"/>
    <n v="0"/>
    <n v="1"/>
    <n v="1"/>
    <n v="1"/>
    <n v="1"/>
    <n v="0"/>
    <n v="0"/>
  </r>
  <r>
    <x v="33"/>
    <s v="MRT"/>
    <s v="PRGT"/>
    <s v="Extended Credit Facility"/>
    <d v="2006-12-18T00:00:00"/>
    <d v="2009-12-17T00:00:00"/>
    <n v="16100000"/>
    <n v="25"/>
    <s v="N"/>
    <s v="N"/>
    <d v="2009-11-01T00:00:00"/>
    <n v="16100000"/>
    <n v="12.5"/>
    <n v="10310000"/>
    <n v="0"/>
    <s v="Expired"/>
    <n v="2006"/>
    <n v="2009"/>
    <n v="0"/>
    <n v="1"/>
    <n v="1"/>
    <n v="1"/>
    <n v="1"/>
    <n v="0"/>
    <n v="0"/>
    <n v="0"/>
    <n v="0"/>
    <n v="0"/>
    <n v="0"/>
    <n v="0"/>
    <n v="0"/>
    <n v="0"/>
    <n v="0"/>
    <n v="0"/>
    <n v="0"/>
    <n v="0"/>
    <n v="0"/>
    <n v="0"/>
  </r>
  <r>
    <x v="33"/>
    <s v="MRT"/>
    <s v="PRGT"/>
    <s v="Extended Credit Facility"/>
    <d v="2010-03-15T00:00:00"/>
    <d v="2013-03-14T00:00:00"/>
    <n v="77280000"/>
    <n v="120"/>
    <s v="N"/>
    <s v="N"/>
    <d v="2013-06-25T00:00:00"/>
    <n v="77280000"/>
    <n v="60"/>
    <n v="77280000"/>
    <n v="0"/>
    <s v="Expired"/>
    <n v="2010"/>
    <n v="2013"/>
    <n v="0"/>
    <n v="0"/>
    <n v="0"/>
    <n v="0"/>
    <n v="0"/>
    <n v="1"/>
    <n v="1"/>
    <n v="1"/>
    <n v="1"/>
    <n v="0"/>
    <n v="0"/>
    <n v="0"/>
    <n v="0"/>
    <n v="0"/>
    <n v="0"/>
    <n v="0"/>
    <n v="0"/>
    <n v="0"/>
    <n v="0"/>
    <n v="0"/>
  </r>
  <r>
    <x v="33"/>
    <s v="MRT"/>
    <s v="PRGT"/>
    <s v="Extended Credit Facility"/>
    <d v="2017-12-06T00:00:00"/>
    <d v="2020-12-05T00:00:00"/>
    <n v="115920000"/>
    <n v="90"/>
    <s v="N"/>
    <s v="N"/>
    <d v="2021-03-05T00:00:00"/>
    <n v="136160000"/>
    <n v="105.7"/>
    <n v="136160000"/>
    <n v="119600000"/>
    <s v="Expired"/>
    <n v="2017"/>
    <n v="2020"/>
    <n v="0"/>
    <n v="0"/>
    <n v="0"/>
    <n v="0"/>
    <n v="0"/>
    <n v="0"/>
    <n v="0"/>
    <n v="0"/>
    <n v="0"/>
    <n v="0"/>
    <n v="0"/>
    <n v="0"/>
    <n v="1"/>
    <n v="1"/>
    <n v="1"/>
    <n v="1"/>
    <n v="0"/>
    <n v="0"/>
    <n v="0"/>
    <n v="0"/>
  </r>
  <r>
    <x v="33"/>
    <s v="MRT"/>
    <s v="PRGT"/>
    <s v="Extended Credit Facility"/>
    <d v="2023-01-25T00:00:00"/>
    <d v="2026-07-24T00:00:00"/>
    <n v="21470000"/>
    <n v="16.7"/>
    <s v="N"/>
    <s v="N"/>
    <d v="2026-07-24T00:00:00"/>
    <n v="21470000"/>
    <n v="16.7"/>
    <n v="15040000"/>
    <n v="15040000"/>
    <s v="Current"/>
    <n v="2023"/>
    <n v="2024"/>
    <n v="0"/>
    <n v="0"/>
    <n v="0"/>
    <n v="0"/>
    <n v="0"/>
    <n v="0"/>
    <n v="0"/>
    <n v="0"/>
    <n v="0"/>
    <n v="0"/>
    <n v="0"/>
    <n v="0"/>
    <n v="0"/>
    <n v="0"/>
    <n v="0"/>
    <n v="0"/>
    <n v="0"/>
    <n v="0"/>
    <n v="1"/>
    <n v="1"/>
  </r>
  <r>
    <x v="34"/>
    <s v="MDA"/>
    <s v="PRGT"/>
    <s v="Extended Credit Facility"/>
    <d v="2006-05-05T00:00:00"/>
    <d v="2009-05-04T00:00:00"/>
    <n v="80080000"/>
    <n v="65"/>
    <s v="N"/>
    <s v="N"/>
    <d v="2009-05-04T00:00:00"/>
    <n v="110880000"/>
    <n v="64.3"/>
    <n v="88000000"/>
    <n v="0"/>
    <s v="Expired"/>
    <n v="2006"/>
    <n v="2009"/>
    <n v="0"/>
    <n v="1"/>
    <n v="1"/>
    <n v="1"/>
    <n v="1"/>
    <n v="0"/>
    <n v="0"/>
    <n v="0"/>
    <n v="0"/>
    <n v="0"/>
    <n v="0"/>
    <n v="0"/>
    <n v="0"/>
    <n v="0"/>
    <n v="0"/>
    <n v="0"/>
    <n v="0"/>
    <n v="0"/>
    <n v="0"/>
    <n v="0"/>
  </r>
  <r>
    <x v="34"/>
    <s v="MDA"/>
    <s v="PRGT"/>
    <s v="Extended Credit Facility"/>
    <d v="2010-01-29T00:00:00"/>
    <d v="2013-01-28T00:00:00"/>
    <n v="184800000"/>
    <n v="150"/>
    <s v="N"/>
    <s v="N"/>
    <d v="2013-04-30T00:00:00"/>
    <n v="184800000"/>
    <n v="107.1"/>
    <n v="170880000"/>
    <n v="0"/>
    <s v="Expired"/>
    <n v="2010"/>
    <n v="2013"/>
    <n v="0"/>
    <n v="0"/>
    <n v="0"/>
    <n v="0"/>
    <n v="0"/>
    <n v="1"/>
    <n v="1"/>
    <n v="1"/>
    <n v="1"/>
    <n v="0"/>
    <n v="0"/>
    <n v="0"/>
    <n v="0"/>
    <n v="0"/>
    <n v="0"/>
    <n v="0"/>
    <n v="0"/>
    <n v="0"/>
    <n v="0"/>
    <n v="0"/>
  </r>
  <r>
    <x v="34"/>
    <s v="MDA"/>
    <s v="PRGT"/>
    <s v="Extended Credit Facility"/>
    <d v="2016-11-07T00:00:00"/>
    <d v="2019-11-06T00:00:00"/>
    <n v="43100000"/>
    <n v="25"/>
    <s v="N"/>
    <s v="N"/>
    <d v="2020-03-19T00:00:00"/>
    <n v="43100000"/>
    <n v="25"/>
    <n v="43100000"/>
    <n v="31600000"/>
    <s v="Expired"/>
    <n v="2016"/>
    <n v="2019"/>
    <n v="0"/>
    <n v="0"/>
    <n v="0"/>
    <n v="0"/>
    <n v="0"/>
    <n v="0"/>
    <n v="0"/>
    <n v="0"/>
    <n v="0"/>
    <n v="0"/>
    <n v="0"/>
    <n v="1"/>
    <n v="1"/>
    <n v="1"/>
    <n v="1"/>
    <n v="0"/>
    <n v="0"/>
    <n v="0"/>
    <n v="0"/>
    <n v="0"/>
  </r>
  <r>
    <x v="34"/>
    <s v="MDA"/>
    <s v="PRGT"/>
    <s v="Extended Credit Facility"/>
    <d v="2021-12-20T00:00:00"/>
    <d v="2025-04-19T00:00:00"/>
    <n v="133300000"/>
    <n v="77.3"/>
    <s v="N"/>
    <s v="N"/>
    <d v="2025-10-19T00:00:00"/>
    <n v="198087500"/>
    <n v="114.8"/>
    <n v="179050000"/>
    <n v="179050000"/>
    <s v="Current"/>
    <n v="2021"/>
    <n v="2024"/>
    <n v="0"/>
    <n v="0"/>
    <n v="0"/>
    <n v="0"/>
    <n v="0"/>
    <n v="0"/>
    <n v="0"/>
    <n v="0"/>
    <n v="0"/>
    <n v="0"/>
    <n v="0"/>
    <n v="0"/>
    <n v="0"/>
    <n v="0"/>
    <n v="0"/>
    <n v="0"/>
    <n v="1"/>
    <n v="1"/>
    <n v="1"/>
    <n v="1"/>
  </r>
  <r>
    <x v="35"/>
    <s v="MOZ"/>
    <s v="PRGT"/>
    <s v="Exogenous Shocks Facility"/>
    <d v="2009-06-30T00:00:00"/>
    <d v="2010-06-29T00:00:00"/>
    <n v="113600000"/>
    <n v="100"/>
    <s v="N"/>
    <s v="N"/>
    <d v="2010-06-28T00:00:00"/>
    <n v="113600000"/>
    <n v="50"/>
    <n v="113600000"/>
    <n v="0"/>
    <s v="Expired"/>
    <n v="2009"/>
    <n v="2010"/>
    <n v="0"/>
    <n v="0"/>
    <n v="0"/>
    <n v="0"/>
    <n v="1"/>
    <n v="1"/>
    <n v="0"/>
    <n v="0"/>
    <n v="0"/>
    <n v="0"/>
    <n v="0"/>
    <n v="0"/>
    <n v="0"/>
    <n v="0"/>
    <n v="0"/>
    <n v="0"/>
    <n v="0"/>
    <n v="0"/>
    <n v="0"/>
    <n v="0"/>
  </r>
  <r>
    <x v="35"/>
    <s v="MOZ"/>
    <s v="PRGT"/>
    <s v="Standby Credit Facility"/>
    <d v="2015-12-18T00:00:00"/>
    <d v="2017-06-17T00:00:00"/>
    <n v="204480000"/>
    <n v="180"/>
    <s v="N"/>
    <s v="N"/>
    <d v="2017-06-17T00:00:00"/>
    <n v="204480000"/>
    <n v="90"/>
    <n v="85200000"/>
    <n v="0"/>
    <s v="Expired"/>
    <n v="2015"/>
    <n v="2017"/>
    <n v="0"/>
    <n v="0"/>
    <n v="0"/>
    <n v="0"/>
    <n v="0"/>
    <n v="0"/>
    <n v="0"/>
    <n v="0"/>
    <n v="0"/>
    <n v="0"/>
    <n v="1"/>
    <n v="1"/>
    <n v="1"/>
    <n v="0"/>
    <n v="0"/>
    <n v="0"/>
    <n v="0"/>
    <n v="0"/>
    <n v="0"/>
    <n v="0"/>
  </r>
  <r>
    <x v="35"/>
    <s v="MOZ"/>
    <s v="PRGT"/>
    <s v="Extended Credit Facility"/>
    <d v="2022-05-09T00:00:00"/>
    <d v="2025-05-08T00:00:00"/>
    <n v="340800000"/>
    <n v="150"/>
    <s v="N"/>
    <s v="N"/>
    <d v="2025-05-08T00:00:00"/>
    <n v="340800000"/>
    <n v="150"/>
    <n v="249920000"/>
    <n v="249920000"/>
    <s v="Current"/>
    <n v="2022"/>
    <n v="2024"/>
    <n v="0"/>
    <n v="0"/>
    <n v="0"/>
    <n v="0"/>
    <n v="0"/>
    <n v="0"/>
    <n v="0"/>
    <n v="0"/>
    <n v="0"/>
    <n v="0"/>
    <n v="0"/>
    <n v="0"/>
    <n v="0"/>
    <n v="0"/>
    <n v="0"/>
    <n v="0"/>
    <n v="0"/>
    <n v="1"/>
    <n v="1"/>
    <n v="1"/>
  </r>
  <r>
    <x v="36"/>
    <s v="NPL"/>
    <s v="PRGT"/>
    <s v="Extended Credit Facility"/>
    <d v="2022-01-12T00:00:00"/>
    <d v="2025-03-11T00:00:00"/>
    <n v="282420000"/>
    <n v="180"/>
    <s v="N"/>
    <s v="N"/>
    <d v="2026-01-11T00:00:00"/>
    <n v="282420000"/>
    <n v="180"/>
    <n v="188300000"/>
    <n v="188300000"/>
    <s v="Current"/>
    <n v="2022"/>
    <n v="2024"/>
    <n v="0"/>
    <n v="0"/>
    <n v="0"/>
    <n v="0"/>
    <n v="0"/>
    <n v="0"/>
    <n v="0"/>
    <n v="0"/>
    <n v="0"/>
    <n v="0"/>
    <n v="0"/>
    <n v="0"/>
    <n v="0"/>
    <n v="0"/>
    <n v="0"/>
    <n v="0"/>
    <n v="0"/>
    <n v="1"/>
    <n v="1"/>
    <n v="1"/>
  </r>
  <r>
    <x v="37"/>
    <s v="NIC"/>
    <s v="PRGT"/>
    <s v="Extended Credit Facility"/>
    <d v="2007-10-05T00:00:00"/>
    <d v="2010-10-04T00:00:00"/>
    <n v="71500000"/>
    <n v="55"/>
    <s v="N"/>
    <s v="N"/>
    <d v="2011-10-31T00:00:00"/>
    <n v="78000000"/>
    <n v="30"/>
    <n v="78000000"/>
    <n v="0"/>
    <s v="Expired"/>
    <n v="2007"/>
    <n v="2010"/>
    <n v="0"/>
    <n v="0"/>
    <n v="1"/>
    <n v="1"/>
    <n v="1"/>
    <n v="1"/>
    <n v="0"/>
    <n v="0"/>
    <n v="0"/>
    <n v="0"/>
    <n v="0"/>
    <n v="0"/>
    <n v="0"/>
    <n v="0"/>
    <n v="0"/>
    <n v="0"/>
    <n v="0"/>
    <n v="0"/>
    <n v="0"/>
    <n v="0"/>
  </r>
  <r>
    <x v="38"/>
    <s v="NER"/>
    <s v="PRGT"/>
    <s v="Extended Credit Facility"/>
    <d v="2005-01-31T00:00:00"/>
    <d v="2008-01-30T00:00:00"/>
    <n v="6580000"/>
    <n v="10"/>
    <s v="N"/>
    <s v="N"/>
    <d v="2008-05-30T00:00:00"/>
    <n v="26320000"/>
    <n v="20"/>
    <n v="26320000"/>
    <n v="0"/>
    <s v="Expired"/>
    <n v="2005"/>
    <n v="2008"/>
    <n v="1"/>
    <n v="1"/>
    <n v="1"/>
    <n v="1"/>
    <n v="0"/>
    <n v="0"/>
    <n v="0"/>
    <n v="0"/>
    <n v="0"/>
    <n v="0"/>
    <n v="0"/>
    <n v="0"/>
    <n v="0"/>
    <n v="0"/>
    <n v="0"/>
    <n v="0"/>
    <n v="0"/>
    <n v="0"/>
    <n v="0"/>
    <n v="0"/>
  </r>
  <r>
    <x v="38"/>
    <s v="NER"/>
    <s v="PRGT"/>
    <s v="Extended Credit Facility"/>
    <d v="2008-06-02T00:00:00"/>
    <d v="2011-06-01T00:00:00"/>
    <n v="23030000"/>
    <n v="35"/>
    <s v="N"/>
    <s v="N"/>
    <d v="2011-06-01T00:00:00"/>
    <n v="23030000"/>
    <n v="17.5"/>
    <n v="13160000"/>
    <n v="0"/>
    <s v="Expired"/>
    <n v="2008"/>
    <n v="2011"/>
    <n v="0"/>
    <n v="0"/>
    <n v="0"/>
    <n v="1"/>
    <n v="1"/>
    <n v="1"/>
    <n v="1"/>
    <n v="0"/>
    <n v="0"/>
    <n v="0"/>
    <n v="0"/>
    <n v="0"/>
    <n v="0"/>
    <n v="0"/>
    <n v="0"/>
    <n v="0"/>
    <n v="0"/>
    <n v="0"/>
    <n v="0"/>
    <n v="0"/>
  </r>
  <r>
    <x v="38"/>
    <s v="NER"/>
    <s v="PRGT"/>
    <s v="Extended Credit Facility"/>
    <d v="2012-03-16T00:00:00"/>
    <d v="2015-03-15T00:00:00"/>
    <n v="78960000"/>
    <n v="120"/>
    <s v="N"/>
    <s v="N"/>
    <d v="2016-12-31T00:00:00"/>
    <n v="120085000"/>
    <n v="91.3"/>
    <n v="107745000"/>
    <n v="12737000"/>
    <s v="Expired"/>
    <n v="2012"/>
    <n v="2015"/>
    <n v="0"/>
    <n v="0"/>
    <n v="0"/>
    <n v="0"/>
    <n v="0"/>
    <n v="0"/>
    <n v="0"/>
    <n v="1"/>
    <n v="1"/>
    <n v="1"/>
    <n v="1"/>
    <n v="0"/>
    <n v="0"/>
    <n v="0"/>
    <n v="0"/>
    <n v="0"/>
    <n v="0"/>
    <n v="0"/>
    <n v="0"/>
    <n v="0"/>
  </r>
  <r>
    <x v="38"/>
    <s v="NER"/>
    <s v="PRGT"/>
    <s v="Extended Credit Facility"/>
    <d v="2017-01-23T00:00:00"/>
    <d v="2020-01-22T00:00:00"/>
    <n v="98700000"/>
    <n v="75"/>
    <s v="N"/>
    <s v="N"/>
    <d v="2020-10-28T00:00:00"/>
    <n v="118440000"/>
    <n v="90"/>
    <n v="118440000"/>
    <n v="98700000"/>
    <s v="Expired"/>
    <n v="2017"/>
    <n v="2020"/>
    <n v="0"/>
    <n v="0"/>
    <n v="0"/>
    <n v="0"/>
    <n v="0"/>
    <n v="0"/>
    <n v="0"/>
    <n v="0"/>
    <n v="0"/>
    <n v="0"/>
    <n v="0"/>
    <n v="0"/>
    <n v="1"/>
    <n v="1"/>
    <n v="1"/>
    <n v="1"/>
    <n v="0"/>
    <n v="0"/>
    <n v="0"/>
    <n v="0"/>
  </r>
  <r>
    <x v="38"/>
    <s v="NER"/>
    <s v="PRGT"/>
    <s v="Extended Credit Facility"/>
    <d v="2021-12-08T00:00:00"/>
    <d v="2024-12-07T00:00:00"/>
    <n v="197400000"/>
    <n v="150"/>
    <s v="N"/>
    <s v="N"/>
    <d v="2025-12-07T00:00:00"/>
    <n v="197400000"/>
    <n v="150"/>
    <n v="157920000"/>
    <n v="157920000"/>
    <s v="Current"/>
    <n v="2021"/>
    <n v="2024"/>
    <n v="0"/>
    <n v="0"/>
    <n v="0"/>
    <n v="0"/>
    <n v="0"/>
    <n v="0"/>
    <n v="0"/>
    <n v="0"/>
    <n v="0"/>
    <n v="0"/>
    <n v="0"/>
    <n v="0"/>
    <n v="0"/>
    <n v="0"/>
    <n v="0"/>
    <n v="0"/>
    <n v="1"/>
    <n v="1"/>
    <n v="1"/>
    <n v="1"/>
  </r>
  <r>
    <x v="39"/>
    <s v="PNG"/>
    <s v="PRGT"/>
    <s v="Extended Credit Facility"/>
    <d v="2023-03-22T00:00:00"/>
    <d v="2026-05-21T00:00:00"/>
    <n v="228110000"/>
    <n v="86.7"/>
    <s v="N"/>
    <s v="N"/>
    <d v="2026-12-21T00:00:00"/>
    <n v="228110000"/>
    <n v="86.7"/>
    <n v="107040000"/>
    <n v="107040000"/>
    <s v="Current"/>
    <n v="2023"/>
    <n v="2024"/>
    <n v="0"/>
    <n v="0"/>
    <n v="0"/>
    <n v="0"/>
    <n v="0"/>
    <n v="0"/>
    <n v="0"/>
    <n v="0"/>
    <n v="0"/>
    <n v="0"/>
    <n v="0"/>
    <n v="0"/>
    <n v="0"/>
    <n v="0"/>
    <n v="0"/>
    <n v="0"/>
    <n v="0"/>
    <n v="0"/>
    <n v="1"/>
    <n v="1"/>
  </r>
  <r>
    <x v="40"/>
    <s v="RWA"/>
    <s v="PRGT"/>
    <s v="Extended Credit Facility"/>
    <d v="2006-06-12T00:00:00"/>
    <d v="2009-06-11T00:00:00"/>
    <n v="8010000"/>
    <n v="10"/>
    <s v="N"/>
    <s v="N"/>
    <d v="2009-08-07T00:00:00"/>
    <n v="8010000"/>
    <n v="5"/>
    <n v="8010000"/>
    <n v="0"/>
    <s v="Expired"/>
    <n v="2006"/>
    <n v="2009"/>
    <n v="0"/>
    <n v="1"/>
    <n v="1"/>
    <n v="1"/>
    <n v="1"/>
    <n v="0"/>
    <n v="0"/>
    <n v="0"/>
    <n v="0"/>
    <n v="0"/>
    <n v="0"/>
    <n v="0"/>
    <n v="0"/>
    <n v="0"/>
    <n v="0"/>
    <n v="0"/>
    <n v="0"/>
    <n v="0"/>
    <n v="0"/>
    <n v="0"/>
  </r>
  <r>
    <x v="40"/>
    <s v="RWA"/>
    <s v="PRGT"/>
    <s v="Standby Credit Facility"/>
    <d v="2016-06-08T00:00:00"/>
    <d v="2017-12-07T00:00:00"/>
    <n v="144180000"/>
    <n v="90"/>
    <s v="Y"/>
    <s v="N"/>
    <d v="2018-01-22T00:00:00"/>
    <n v="144180000"/>
    <n v="90"/>
    <n v="144180000"/>
    <n v="14017500"/>
    <s v="Expired"/>
    <n v="2016"/>
    <n v="2017"/>
    <n v="0"/>
    <n v="0"/>
    <n v="0"/>
    <n v="0"/>
    <n v="0"/>
    <n v="0"/>
    <n v="0"/>
    <n v="0"/>
    <n v="0"/>
    <n v="0"/>
    <n v="0"/>
    <n v="1"/>
    <n v="1"/>
    <n v="0"/>
    <n v="0"/>
    <n v="0"/>
    <n v="0"/>
    <n v="0"/>
    <n v="0"/>
    <n v="0"/>
  </r>
  <r>
    <x v="40"/>
    <s v="RWA"/>
    <s v="PRGT"/>
    <s v="Standby Credit Facility"/>
    <d v="2023-12-14T00:00:00"/>
    <d v="2025-02-13T00:00:00"/>
    <n v="200250000"/>
    <n v="125"/>
    <s v="N"/>
    <s v="N"/>
    <d v="2024-12-17T00:00:00"/>
    <n v="200250000"/>
    <n v="125"/>
    <n v="200250000"/>
    <n v="200250000"/>
    <s v="Expired"/>
    <n v="2023"/>
    <n v="2024"/>
    <n v="0"/>
    <n v="0"/>
    <n v="0"/>
    <n v="0"/>
    <n v="0"/>
    <n v="0"/>
    <n v="0"/>
    <n v="0"/>
    <n v="0"/>
    <n v="0"/>
    <n v="0"/>
    <n v="0"/>
    <n v="0"/>
    <n v="0"/>
    <n v="0"/>
    <n v="0"/>
    <n v="0"/>
    <n v="0"/>
    <n v="1"/>
    <n v="1"/>
  </r>
  <r>
    <x v="41"/>
    <s v="STP"/>
    <s v="PRGT"/>
    <s v="Extended Credit Facility"/>
    <d v="2005-08-01T00:00:00"/>
    <d v="2008-07-31T00:00:00"/>
    <n v="2960000"/>
    <n v="40"/>
    <s v="N"/>
    <s v="N"/>
    <d v="2008-07-03T00:00:00"/>
    <n v="2960000"/>
    <n v="20"/>
    <n v="2960000"/>
    <n v="0"/>
    <s v="Expired"/>
    <n v="2005"/>
    <n v="2008"/>
    <n v="1"/>
    <n v="1"/>
    <n v="1"/>
    <n v="1"/>
    <n v="0"/>
    <n v="0"/>
    <n v="0"/>
    <n v="0"/>
    <n v="0"/>
    <n v="0"/>
    <n v="0"/>
    <n v="0"/>
    <n v="0"/>
    <n v="0"/>
    <n v="0"/>
    <n v="0"/>
    <n v="0"/>
    <n v="0"/>
    <n v="0"/>
    <n v="0"/>
  </r>
  <r>
    <x v="41"/>
    <s v="STP"/>
    <s v="PRGT"/>
    <s v="Extended Credit Facility"/>
    <d v="2009-03-02T00:00:00"/>
    <d v="2012-03-01T00:00:00"/>
    <n v="2590000"/>
    <n v="35"/>
    <s v="N"/>
    <s v="N"/>
    <d v="2012-03-01T00:00:00"/>
    <n v="2590000"/>
    <n v="17.5"/>
    <n v="740000"/>
    <n v="0"/>
    <s v="Expired"/>
    <n v="2009"/>
    <n v="2012"/>
    <n v="0"/>
    <n v="0"/>
    <n v="0"/>
    <n v="0"/>
    <n v="1"/>
    <n v="1"/>
    <n v="1"/>
    <n v="1"/>
    <n v="0"/>
    <n v="0"/>
    <n v="0"/>
    <n v="0"/>
    <n v="0"/>
    <n v="0"/>
    <n v="0"/>
    <n v="0"/>
    <n v="0"/>
    <n v="0"/>
    <n v="0"/>
    <n v="0"/>
  </r>
  <r>
    <x v="41"/>
    <s v="STP"/>
    <s v="PRGT"/>
    <s v="Extended Credit Facility"/>
    <d v="2012-07-20T00:00:00"/>
    <d v="2015-07-19T00:00:00"/>
    <n v="2590000"/>
    <n v="35"/>
    <s v="N"/>
    <s v="N"/>
    <d v="2015-07-13T00:00:00"/>
    <n v="2590000"/>
    <n v="17.5"/>
    <n v="1110000"/>
    <n v="0"/>
    <s v="Expired"/>
    <n v="2012"/>
    <n v="2015"/>
    <n v="0"/>
    <n v="0"/>
    <n v="0"/>
    <n v="0"/>
    <n v="0"/>
    <n v="0"/>
    <n v="0"/>
    <n v="1"/>
    <n v="1"/>
    <n v="1"/>
    <n v="1"/>
    <n v="0"/>
    <n v="0"/>
    <n v="0"/>
    <n v="0"/>
    <n v="0"/>
    <n v="0"/>
    <n v="0"/>
    <n v="0"/>
    <n v="0"/>
  </r>
  <r>
    <x v="41"/>
    <s v="STP"/>
    <s v="PRGT"/>
    <s v="Extended Credit Facility"/>
    <d v="2015-07-13T00:00:00"/>
    <d v="2018-07-12T00:00:00"/>
    <n v="4440000"/>
    <n v="60"/>
    <s v="N"/>
    <s v="N"/>
    <d v="2018-12-31T00:00:00"/>
    <n v="4440000"/>
    <n v="30"/>
    <n v="3805710"/>
    <n v="1839438"/>
    <s v="Expired"/>
    <n v="2015"/>
    <n v="2018"/>
    <n v="0"/>
    <n v="0"/>
    <n v="0"/>
    <n v="0"/>
    <n v="0"/>
    <n v="0"/>
    <n v="0"/>
    <n v="0"/>
    <n v="0"/>
    <n v="0"/>
    <n v="1"/>
    <n v="1"/>
    <n v="1"/>
    <n v="1"/>
    <n v="0"/>
    <n v="0"/>
    <n v="0"/>
    <n v="0"/>
    <n v="0"/>
    <n v="0"/>
  </r>
  <r>
    <x v="41"/>
    <s v="STP"/>
    <s v="PRGT"/>
    <s v="Extended Credit Facility"/>
    <d v="2019-10-02T00:00:00"/>
    <d v="2023-02-01T00:00:00"/>
    <n v="13320000"/>
    <n v="90"/>
    <s v="N"/>
    <s v="N"/>
    <d v="2023-02-01T00:00:00"/>
    <n v="14800000"/>
    <n v="100"/>
    <n v="12897143"/>
    <n v="12897143"/>
    <s v="Expired"/>
    <n v="2019"/>
    <n v="2023"/>
    <n v="0"/>
    <n v="0"/>
    <n v="0"/>
    <n v="0"/>
    <n v="0"/>
    <n v="0"/>
    <n v="0"/>
    <n v="0"/>
    <n v="0"/>
    <n v="0"/>
    <n v="0"/>
    <n v="0"/>
    <n v="0"/>
    <n v="0"/>
    <n v="1"/>
    <n v="1"/>
    <n v="1"/>
    <n v="1"/>
    <n v="1"/>
    <n v="0"/>
  </r>
  <r>
    <x v="41"/>
    <s v="STP"/>
    <s v="PRGT"/>
    <s v="Extended Credit Facility"/>
    <d v="2024-12-19T00:00:00"/>
    <d v="2028-04-18T00:00:00"/>
    <n v="18500000"/>
    <n v="125"/>
    <s v="N"/>
    <s v="N"/>
    <d v="2028-04-18T00:00:00"/>
    <n v="18500000"/>
    <n v="125"/>
    <n v="3964286"/>
    <n v="3964286"/>
    <s v="Current"/>
    <n v="2024"/>
    <n v="2024"/>
    <n v="0"/>
    <n v="0"/>
    <n v="0"/>
    <n v="0"/>
    <n v="0"/>
    <n v="0"/>
    <n v="0"/>
    <n v="0"/>
    <n v="0"/>
    <n v="0"/>
    <n v="0"/>
    <n v="0"/>
    <n v="0"/>
    <n v="0"/>
    <n v="0"/>
    <n v="0"/>
    <n v="0"/>
    <n v="0"/>
    <n v="0"/>
    <n v="1"/>
  </r>
  <r>
    <x v="42"/>
    <s v="SEN"/>
    <s v="PRGT"/>
    <s v="Exogenous Shocks Facility"/>
    <d v="2008-12-19T00:00:00"/>
    <d v="2009-12-18T00:00:00"/>
    <n v="48540000"/>
    <n v="30"/>
    <s v="N"/>
    <s v="N"/>
    <d v="2010-06-10T00:00:00"/>
    <n v="121350000"/>
    <n v="37.5"/>
    <n v="121350000"/>
    <n v="0"/>
    <s v="Expired"/>
    <n v="2008"/>
    <n v="2009"/>
    <n v="0"/>
    <n v="0"/>
    <n v="0"/>
    <n v="1"/>
    <n v="1"/>
    <n v="0"/>
    <n v="0"/>
    <n v="0"/>
    <n v="0"/>
    <n v="0"/>
    <n v="0"/>
    <n v="0"/>
    <n v="0"/>
    <n v="0"/>
    <n v="0"/>
    <n v="0"/>
    <n v="0"/>
    <n v="0"/>
    <n v="0"/>
    <n v="0"/>
  </r>
  <r>
    <x v="42"/>
    <s v="SEN"/>
    <s v="PRGT"/>
    <s v="Standby Credit Facility"/>
    <d v="2021-06-07T00:00:00"/>
    <d v="2022-12-06T00:00:00"/>
    <n v="151000000"/>
    <n v="46.7"/>
    <s v="N"/>
    <s v="N"/>
    <d v="2023-01-09T00:00:00"/>
    <n v="194150000"/>
    <n v="60"/>
    <n v="194150000"/>
    <n v="194150000"/>
    <s v="Expired"/>
    <n v="2021"/>
    <n v="2022"/>
    <n v="0"/>
    <n v="0"/>
    <n v="0"/>
    <n v="0"/>
    <n v="0"/>
    <n v="0"/>
    <n v="0"/>
    <n v="0"/>
    <n v="0"/>
    <n v="0"/>
    <n v="0"/>
    <n v="0"/>
    <n v="0"/>
    <n v="0"/>
    <n v="0"/>
    <n v="0"/>
    <n v="1"/>
    <n v="1"/>
    <n v="0"/>
    <n v="0"/>
  </r>
  <r>
    <x v="42"/>
    <s v="SEN"/>
    <s v="PRGT"/>
    <s v="Extended Credit Facility"/>
    <d v="2023-06-26T00:00:00"/>
    <d v="2026-06-25T00:00:00"/>
    <n v="377530000"/>
    <n v="116.7"/>
    <s v="N"/>
    <s v="N"/>
    <d v="2026-06-25T00:00:00"/>
    <n v="377530000"/>
    <n v="116.7"/>
    <n v="107860000"/>
    <n v="107860000"/>
    <s v="Current"/>
    <n v="2023"/>
    <n v="2024"/>
    <n v="0"/>
    <n v="0"/>
    <n v="0"/>
    <n v="0"/>
    <n v="0"/>
    <n v="0"/>
    <n v="0"/>
    <n v="0"/>
    <n v="0"/>
    <n v="0"/>
    <n v="0"/>
    <n v="0"/>
    <n v="0"/>
    <n v="0"/>
    <n v="0"/>
    <n v="0"/>
    <n v="0"/>
    <n v="0"/>
    <n v="1"/>
    <n v="1"/>
  </r>
  <r>
    <x v="43"/>
    <s v="SLE"/>
    <s v="PRGT"/>
    <s v="Extended Credit Facility"/>
    <d v="2006-05-10T00:00:00"/>
    <d v="2009-05-09T00:00:00"/>
    <n v="31110000"/>
    <n v="30"/>
    <s v="N"/>
    <s v="N"/>
    <d v="2010-06-22T00:00:00"/>
    <n v="51880000"/>
    <n v="25"/>
    <n v="51880000"/>
    <n v="0"/>
    <s v="Expired"/>
    <n v="2006"/>
    <n v="2009"/>
    <n v="0"/>
    <n v="1"/>
    <n v="1"/>
    <n v="1"/>
    <n v="1"/>
    <n v="0"/>
    <n v="0"/>
    <n v="0"/>
    <n v="0"/>
    <n v="0"/>
    <n v="0"/>
    <n v="0"/>
    <n v="0"/>
    <n v="0"/>
    <n v="0"/>
    <n v="0"/>
    <n v="0"/>
    <n v="0"/>
    <n v="0"/>
    <n v="0"/>
  </r>
  <r>
    <x v="43"/>
    <s v="SLE"/>
    <s v="PRGT"/>
    <s v="Extended Credit Facility"/>
    <d v="2010-07-01T00:00:00"/>
    <d v="2013-06-30T00:00:00"/>
    <n v="31110000"/>
    <n v="30"/>
    <s v="N"/>
    <s v="N"/>
    <d v="2013-06-30T00:00:00"/>
    <n v="31110000"/>
    <n v="15"/>
    <n v="22200000"/>
    <n v="0"/>
    <s v="Expired"/>
    <n v="2010"/>
    <n v="2013"/>
    <n v="0"/>
    <n v="0"/>
    <n v="0"/>
    <n v="0"/>
    <n v="0"/>
    <n v="1"/>
    <n v="1"/>
    <n v="1"/>
    <n v="1"/>
    <n v="0"/>
    <n v="0"/>
    <n v="0"/>
    <n v="0"/>
    <n v="0"/>
    <n v="0"/>
    <n v="0"/>
    <n v="0"/>
    <n v="0"/>
    <n v="0"/>
    <n v="0"/>
  </r>
  <r>
    <x v="43"/>
    <s v="SLE"/>
    <s v="PRGT"/>
    <s v="Extended Credit Facility"/>
    <d v="2013-10-21T00:00:00"/>
    <d v="2016-10-20T00:00:00"/>
    <n v="62220000"/>
    <n v="60"/>
    <s v="N"/>
    <s v="N"/>
    <d v="2016-12-14T00:00:00"/>
    <n v="186660000"/>
    <n v="90"/>
    <n v="186660000"/>
    <n v="32293000"/>
    <s v="Expired"/>
    <n v="2013"/>
    <n v="2016"/>
    <n v="0"/>
    <n v="0"/>
    <n v="0"/>
    <n v="0"/>
    <n v="0"/>
    <n v="0"/>
    <n v="0"/>
    <n v="0"/>
    <n v="1"/>
    <n v="1"/>
    <n v="1"/>
    <n v="1"/>
    <n v="0"/>
    <n v="0"/>
    <n v="0"/>
    <n v="0"/>
    <n v="0"/>
    <n v="0"/>
    <n v="0"/>
    <n v="0"/>
  </r>
  <r>
    <x v="43"/>
    <s v="SLE"/>
    <s v="PRGT"/>
    <s v="Extended Credit Facility"/>
    <d v="2017-06-05T00:00:00"/>
    <d v="2020-06-04T00:00:00"/>
    <n v="161772000"/>
    <n v="78"/>
    <s v="N"/>
    <s v="N"/>
    <d v="2018-11-29T00:00:00"/>
    <n v="161772000"/>
    <n v="78"/>
    <n v="39166000"/>
    <n v="19583000"/>
    <s v="Expired"/>
    <n v="2017"/>
    <n v="2020"/>
    <n v="0"/>
    <n v="0"/>
    <n v="0"/>
    <n v="0"/>
    <n v="0"/>
    <n v="0"/>
    <n v="0"/>
    <n v="0"/>
    <n v="0"/>
    <n v="0"/>
    <n v="0"/>
    <n v="0"/>
    <n v="1"/>
    <n v="1"/>
    <n v="1"/>
    <n v="1"/>
    <n v="0"/>
    <n v="0"/>
    <n v="0"/>
    <n v="0"/>
  </r>
  <r>
    <x v="43"/>
    <s v="SLE"/>
    <s v="PRGT"/>
    <s v="Extended Credit Facility"/>
    <d v="2018-11-30T00:00:00"/>
    <d v="2022-06-29T00:00:00"/>
    <n v="124440000"/>
    <n v="60"/>
    <s v="N"/>
    <s v="N"/>
    <d v="2023-11-22T00:00:00"/>
    <n v="124440000"/>
    <n v="60"/>
    <n v="124440000"/>
    <n v="121329000"/>
    <s v="Expired"/>
    <n v="2018"/>
    <n v="2022"/>
    <n v="0"/>
    <n v="0"/>
    <n v="0"/>
    <n v="0"/>
    <n v="0"/>
    <n v="0"/>
    <n v="0"/>
    <n v="0"/>
    <n v="0"/>
    <n v="0"/>
    <n v="0"/>
    <n v="0"/>
    <n v="0"/>
    <n v="1"/>
    <n v="1"/>
    <n v="1"/>
    <n v="1"/>
    <n v="1"/>
    <n v="0"/>
    <n v="0"/>
  </r>
  <r>
    <x v="43"/>
    <s v="SLE"/>
    <s v="PRGT"/>
    <s v="Extended Credit Facility"/>
    <d v="2024-10-31T00:00:00"/>
    <d v="2027-12-30T00:00:00"/>
    <n v="186663000"/>
    <n v="90"/>
    <s v="N"/>
    <s v="N"/>
    <d v="2027-12-30T00:00:00"/>
    <n v="186663000"/>
    <n v="90"/>
    <n v="34999000"/>
    <n v="34999000"/>
    <s v="Current"/>
    <n v="2024"/>
    <n v="2024"/>
    <n v="0"/>
    <n v="0"/>
    <n v="0"/>
    <n v="0"/>
    <n v="0"/>
    <n v="0"/>
    <n v="0"/>
    <n v="0"/>
    <n v="0"/>
    <n v="0"/>
    <n v="0"/>
    <n v="0"/>
    <n v="0"/>
    <n v="0"/>
    <n v="0"/>
    <n v="0"/>
    <n v="0"/>
    <n v="0"/>
    <n v="0"/>
    <n v="1"/>
  </r>
  <r>
    <x v="44"/>
    <s v="SLB"/>
    <s v="PRGT"/>
    <s v="Standby Credit Facility"/>
    <d v="2010-06-02T00:00:00"/>
    <d v="2011-12-01T00:00:00"/>
    <n v="12480000"/>
    <n v="120"/>
    <s v="N"/>
    <s v="N"/>
    <d v="2011-12-01T00:00:00"/>
    <n v="12480000"/>
    <n v="60"/>
    <n v="12480000"/>
    <n v="0"/>
    <s v="Expired"/>
    <n v="2010"/>
    <n v="2011"/>
    <n v="0"/>
    <n v="0"/>
    <n v="0"/>
    <n v="0"/>
    <n v="0"/>
    <n v="1"/>
    <n v="1"/>
    <n v="0"/>
    <n v="0"/>
    <n v="0"/>
    <n v="0"/>
    <n v="0"/>
    <n v="0"/>
    <n v="0"/>
    <n v="0"/>
    <n v="0"/>
    <n v="0"/>
    <n v="0"/>
    <n v="0"/>
    <n v="0"/>
  </r>
  <r>
    <x v="44"/>
    <s v="SLB"/>
    <s v="PRGT"/>
    <s v="Standby Credit Facility"/>
    <d v="2011-12-06T00:00:00"/>
    <d v="2012-12-05T00:00:00"/>
    <n v="5200000"/>
    <n v="50"/>
    <s v="Y"/>
    <s v="N"/>
    <d v="2012-12-05T00:00:00"/>
    <n v="5200000"/>
    <n v="25"/>
    <n v="0"/>
    <n v="0"/>
    <s v="Expired"/>
    <n v="2011"/>
    <n v="2012"/>
    <n v="0"/>
    <n v="0"/>
    <n v="0"/>
    <n v="0"/>
    <n v="0"/>
    <n v="0"/>
    <n v="1"/>
    <n v="1"/>
    <n v="0"/>
    <n v="0"/>
    <n v="0"/>
    <n v="0"/>
    <n v="0"/>
    <n v="0"/>
    <n v="0"/>
    <n v="0"/>
    <n v="0"/>
    <n v="0"/>
    <n v="0"/>
    <n v="0"/>
  </r>
  <r>
    <x v="44"/>
    <s v="SLB"/>
    <s v="PRGT"/>
    <s v="Extended Credit Facility"/>
    <d v="2012-12-07T00:00:00"/>
    <d v="2015-12-06T00:00:00"/>
    <n v="1040000"/>
    <n v="10"/>
    <s v="N"/>
    <s v="N"/>
    <d v="2016-03-31T00:00:00"/>
    <n v="1040000"/>
    <n v="5"/>
    <n v="1040000"/>
    <n v="104005"/>
    <s v="Expired"/>
    <n v="2012"/>
    <n v="2015"/>
    <n v="0"/>
    <n v="0"/>
    <n v="0"/>
    <n v="0"/>
    <n v="0"/>
    <n v="0"/>
    <n v="0"/>
    <n v="1"/>
    <n v="1"/>
    <n v="1"/>
    <n v="1"/>
    <n v="0"/>
    <n v="0"/>
    <n v="0"/>
    <n v="0"/>
    <n v="0"/>
    <n v="0"/>
    <n v="0"/>
    <n v="0"/>
    <n v="0"/>
  </r>
  <r>
    <x v="45"/>
    <s v="SOM"/>
    <s v="PRGT"/>
    <s v="Extended Credit Facility"/>
    <d v="2020-03-25T00:00:00"/>
    <d v="2023-03-24T00:00:00"/>
    <n v="252862000"/>
    <n v="154.80000000000001"/>
    <s v="N"/>
    <s v="N"/>
    <d v="2023-12-15T00:00:00"/>
    <n v="252862000"/>
    <n v="154.80000000000001"/>
    <n v="252862000"/>
    <n v="42000000"/>
    <s v="Expired"/>
    <n v="2020"/>
    <n v="2023"/>
    <n v="0"/>
    <n v="0"/>
    <n v="0"/>
    <n v="0"/>
    <n v="0"/>
    <n v="0"/>
    <n v="0"/>
    <n v="0"/>
    <n v="0"/>
    <n v="0"/>
    <n v="0"/>
    <n v="0"/>
    <n v="0"/>
    <n v="0"/>
    <n v="0"/>
    <n v="1"/>
    <n v="1"/>
    <n v="1"/>
    <n v="1"/>
    <n v="0"/>
  </r>
  <r>
    <x v="45"/>
    <s v="SOM"/>
    <s v="PRGT"/>
    <s v="Extended Credit Facility"/>
    <d v="2023-12-19T00:00:00"/>
    <d v="2026-12-18T00:00:00"/>
    <n v="75000000"/>
    <n v="45.9"/>
    <s v="N"/>
    <s v="N"/>
    <d v="2026-12-18T00:00:00"/>
    <n v="75000000"/>
    <n v="45.9"/>
    <n v="45000000"/>
    <n v="45000000"/>
    <s v="Current"/>
    <n v="2023"/>
    <n v="2024"/>
    <n v="0"/>
    <n v="0"/>
    <n v="0"/>
    <n v="0"/>
    <n v="0"/>
    <n v="0"/>
    <n v="0"/>
    <n v="0"/>
    <n v="0"/>
    <n v="0"/>
    <n v="0"/>
    <n v="0"/>
    <n v="0"/>
    <n v="0"/>
    <n v="0"/>
    <n v="0"/>
    <n v="0"/>
    <n v="0"/>
    <n v="1"/>
    <n v="1"/>
  </r>
  <r>
    <x v="46"/>
    <s v="SDN"/>
    <s v="PRGT"/>
    <s v="Extended Credit Facility"/>
    <d v="2021-06-29T00:00:00"/>
    <d v="2024-09-28T00:00:00"/>
    <n v="1733051000"/>
    <n v="275"/>
    <s v="N"/>
    <s v="N"/>
    <d v="2022-12-28T00:00:00"/>
    <n v="1733051000"/>
    <n v="275"/>
    <n v="991551000"/>
    <n v="991551000"/>
    <s v="Expired"/>
    <n v="2021"/>
    <n v="2024"/>
    <n v="0"/>
    <n v="0"/>
    <n v="0"/>
    <n v="0"/>
    <n v="0"/>
    <n v="0"/>
    <n v="0"/>
    <n v="0"/>
    <n v="0"/>
    <n v="0"/>
    <n v="0"/>
    <n v="0"/>
    <n v="0"/>
    <n v="0"/>
    <n v="0"/>
    <n v="0"/>
    <n v="1"/>
    <n v="1"/>
    <n v="1"/>
    <n v="1"/>
  </r>
  <r>
    <x v="47"/>
    <s v="TJK"/>
    <s v="PRGT"/>
    <s v="Extended Credit Facility"/>
    <d v="2009-04-21T00:00:00"/>
    <d v="2012-04-20T00:00:00"/>
    <n v="78300000"/>
    <n v="90"/>
    <s v="N"/>
    <s v="N"/>
    <d v="2012-05-09T00:00:00"/>
    <n v="104400000"/>
    <n v="60"/>
    <n v="104400000"/>
    <n v="0"/>
    <s v="Expired"/>
    <n v="2009"/>
    <n v="2012"/>
    <n v="0"/>
    <n v="0"/>
    <n v="0"/>
    <n v="0"/>
    <n v="1"/>
    <n v="1"/>
    <n v="1"/>
    <n v="1"/>
    <n v="0"/>
    <n v="0"/>
    <n v="0"/>
    <n v="0"/>
    <n v="0"/>
    <n v="0"/>
    <n v="0"/>
    <n v="0"/>
    <n v="0"/>
    <n v="0"/>
    <n v="0"/>
    <n v="0"/>
  </r>
  <r>
    <x v="48"/>
    <s v="TZA"/>
    <s v="PRGT"/>
    <s v="Exogenous Shocks Facility"/>
    <d v="2009-05-29T00:00:00"/>
    <d v="2010-05-28T00:00:00"/>
    <n v="218790000"/>
    <n v="110"/>
    <s v="N"/>
    <s v="N"/>
    <d v="2010-06-14T00:00:00"/>
    <n v="218790000"/>
    <n v="55"/>
    <n v="218790000"/>
    <n v="0"/>
    <s v="Expired"/>
    <n v="2009"/>
    <n v="2010"/>
    <n v="0"/>
    <n v="0"/>
    <n v="0"/>
    <n v="0"/>
    <n v="1"/>
    <n v="1"/>
    <n v="0"/>
    <n v="0"/>
    <n v="0"/>
    <n v="0"/>
    <n v="0"/>
    <n v="0"/>
    <n v="0"/>
    <n v="0"/>
    <n v="0"/>
    <n v="0"/>
    <n v="0"/>
    <n v="0"/>
    <n v="0"/>
    <n v="0"/>
  </r>
  <r>
    <x v="48"/>
    <s v="TZA"/>
    <s v="PRGT"/>
    <s v="Standby Credit Facility"/>
    <d v="2012-07-06T00:00:00"/>
    <d v="2014-01-05T00:00:00"/>
    <n v="149175000"/>
    <n v="75"/>
    <s v="Y"/>
    <s v="N"/>
    <d v="2014-04-30T00:00:00"/>
    <n v="149175000"/>
    <n v="37.5"/>
    <n v="74600000"/>
    <n v="0"/>
    <s v="Expired"/>
    <n v="2012"/>
    <n v="2014"/>
    <n v="0"/>
    <n v="0"/>
    <n v="0"/>
    <n v="0"/>
    <n v="0"/>
    <n v="0"/>
    <n v="0"/>
    <n v="1"/>
    <n v="1"/>
    <n v="1"/>
    <n v="0"/>
    <n v="0"/>
    <n v="0"/>
    <n v="0"/>
    <n v="0"/>
    <n v="0"/>
    <n v="0"/>
    <n v="0"/>
    <n v="0"/>
    <n v="0"/>
  </r>
  <r>
    <x v="48"/>
    <s v="TZA"/>
    <s v="PRGT"/>
    <s v="Extended Credit Facility"/>
    <d v="2022-07-18T00:00:00"/>
    <d v="2025-11-17T00:00:00"/>
    <n v="795580000"/>
    <n v="200"/>
    <s v="N"/>
    <s v="N"/>
    <d v="2026-05-17T00:00:00"/>
    <n v="795580000"/>
    <n v="200"/>
    <n v="568840000"/>
    <n v="568840000"/>
    <s v="Current"/>
    <n v="2022"/>
    <n v="2024"/>
    <n v="0"/>
    <n v="0"/>
    <n v="0"/>
    <n v="0"/>
    <n v="0"/>
    <n v="0"/>
    <n v="0"/>
    <n v="0"/>
    <n v="0"/>
    <n v="0"/>
    <n v="0"/>
    <n v="0"/>
    <n v="0"/>
    <n v="0"/>
    <n v="0"/>
    <n v="0"/>
    <n v="0"/>
    <n v="1"/>
    <n v="1"/>
    <n v="1"/>
  </r>
  <r>
    <x v="49"/>
    <s v="TGO"/>
    <s v="PRGT"/>
    <s v="Extended Credit Facility"/>
    <d v="2008-04-21T00:00:00"/>
    <d v="2011-04-20T00:00:00"/>
    <n v="66060000"/>
    <n v="90"/>
    <s v="N"/>
    <s v="N"/>
    <d v="2011-07-26T00:00:00"/>
    <n v="95410000"/>
    <n v="65"/>
    <n v="95410000"/>
    <n v="0"/>
    <s v="Expired"/>
    <n v="2008"/>
    <n v="2011"/>
    <n v="0"/>
    <n v="0"/>
    <n v="0"/>
    <n v="1"/>
    <n v="1"/>
    <n v="1"/>
    <n v="1"/>
    <n v="0"/>
    <n v="0"/>
    <n v="0"/>
    <n v="0"/>
    <n v="0"/>
    <n v="0"/>
    <n v="0"/>
    <n v="0"/>
    <n v="0"/>
    <n v="0"/>
    <n v="0"/>
    <n v="0"/>
    <n v="0"/>
  </r>
  <r>
    <x v="49"/>
    <s v="TGO"/>
    <s v="PRGT"/>
    <s v="Extended Credit Facility"/>
    <d v="2017-05-05T00:00:00"/>
    <d v="2020-05-04T00:00:00"/>
    <n v="176160000"/>
    <n v="120"/>
    <s v="N"/>
    <s v="N"/>
    <d v="2020-04-07T00:00:00"/>
    <n v="247650000"/>
    <n v="168.7"/>
    <n v="247650000"/>
    <n v="212412000"/>
    <s v="Expired"/>
    <n v="2017"/>
    <n v="2020"/>
    <n v="0"/>
    <n v="0"/>
    <n v="0"/>
    <n v="0"/>
    <n v="0"/>
    <n v="0"/>
    <n v="0"/>
    <n v="0"/>
    <n v="0"/>
    <n v="0"/>
    <n v="0"/>
    <n v="0"/>
    <n v="1"/>
    <n v="1"/>
    <n v="1"/>
    <n v="1"/>
    <n v="0"/>
    <n v="0"/>
    <n v="0"/>
    <n v="0"/>
  </r>
  <r>
    <x v="49"/>
    <s v="TGO"/>
    <s v="PRGT"/>
    <s v="Extended Credit Facility"/>
    <d v="2024-03-01T00:00:00"/>
    <d v="2027-08-31T00:00:00"/>
    <n v="293600000"/>
    <n v="200"/>
    <s v="N"/>
    <s v="N"/>
    <d v="2027-08-31T00:00:00"/>
    <n v="293600000"/>
    <n v="200"/>
    <n v="95420000"/>
    <n v="95420000"/>
    <s v="Current"/>
    <n v="2024"/>
    <n v="2024"/>
    <n v="0"/>
    <n v="0"/>
    <n v="0"/>
    <n v="0"/>
    <n v="0"/>
    <n v="0"/>
    <n v="0"/>
    <n v="0"/>
    <n v="0"/>
    <n v="0"/>
    <n v="0"/>
    <n v="0"/>
    <n v="0"/>
    <n v="0"/>
    <n v="0"/>
    <n v="0"/>
    <n v="0"/>
    <n v="0"/>
    <n v="0"/>
    <n v="1"/>
  </r>
  <r>
    <x v="50"/>
    <s v="UGA"/>
    <s v="PRGT"/>
    <s v="Extended Credit Facility"/>
    <d v="2021-06-28T00:00:00"/>
    <d v="2024-06-27T00:00:00"/>
    <n v="722000000"/>
    <n v="200"/>
    <s v="N"/>
    <s v="N"/>
    <d v="2024-06-27T00:00:00"/>
    <n v="722000000"/>
    <n v="200"/>
    <n v="631750000"/>
    <n v="631750000"/>
    <s v="Expired"/>
    <n v="2021"/>
    <n v="2024"/>
    <n v="0"/>
    <n v="0"/>
    <n v="0"/>
    <n v="0"/>
    <n v="0"/>
    <n v="0"/>
    <n v="0"/>
    <n v="0"/>
    <n v="0"/>
    <n v="0"/>
    <n v="0"/>
    <n v="0"/>
    <n v="0"/>
    <n v="0"/>
    <n v="0"/>
    <n v="0"/>
    <n v="1"/>
    <n v="1"/>
    <n v="1"/>
    <n v="1"/>
  </r>
  <r>
    <x v="51"/>
    <s v="YMN"/>
    <s v="PRGT"/>
    <s v="Extended Credit Facility"/>
    <d v="2010-07-30T00:00:00"/>
    <d v="2013-07-29T00:00:00"/>
    <n v="243500000"/>
    <n v="100"/>
    <s v="N"/>
    <s v="N"/>
    <d v="2012-04-04T00:00:00"/>
    <n v="243500000"/>
    <n v="50"/>
    <n v="34790000"/>
    <n v="0"/>
    <s v="Expired"/>
    <n v="2010"/>
    <n v="2013"/>
    <n v="0"/>
    <n v="0"/>
    <n v="0"/>
    <n v="0"/>
    <n v="0"/>
    <n v="1"/>
    <n v="1"/>
    <n v="1"/>
    <n v="1"/>
    <n v="0"/>
    <n v="0"/>
    <n v="0"/>
    <n v="0"/>
    <n v="0"/>
    <n v="0"/>
    <n v="0"/>
    <n v="0"/>
    <n v="0"/>
    <n v="0"/>
    <n v="0"/>
  </r>
  <r>
    <x v="51"/>
    <s v="YMN"/>
    <s v="PRGT"/>
    <s v="Extended Credit Facility"/>
    <d v="2014-09-02T00:00:00"/>
    <d v="2017-09-01T00:00:00"/>
    <n v="365250000"/>
    <n v="150"/>
    <s v="N"/>
    <s v="N"/>
    <d v="2016-03-01T00:00:00"/>
    <n v="365250000"/>
    <n v="75"/>
    <n v="48750000"/>
    <n v="0"/>
    <s v="Expired"/>
    <n v="2014"/>
    <n v="2017"/>
    <n v="0"/>
    <n v="0"/>
    <n v="0"/>
    <n v="0"/>
    <n v="0"/>
    <n v="0"/>
    <n v="0"/>
    <n v="0"/>
    <n v="0"/>
    <n v="1"/>
    <n v="1"/>
    <n v="1"/>
    <n v="1"/>
    <n v="0"/>
    <n v="0"/>
    <n v="0"/>
    <n v="0"/>
    <n v="0"/>
    <n v="0"/>
    <n v="0"/>
  </r>
  <r>
    <x v="52"/>
    <s v="ZMB"/>
    <s v="PRGT"/>
    <s v="Extended Credit Facility"/>
    <d v="2008-06-04T00:00:00"/>
    <d v="2011-06-03T00:00:00"/>
    <n v="48910000"/>
    <n v="10"/>
    <s v="N"/>
    <s v="N"/>
    <d v="2011-06-29T00:00:00"/>
    <n v="220095000"/>
    <n v="22.5"/>
    <n v="220095000"/>
    <n v="0"/>
    <s v="Expired"/>
    <n v="2008"/>
    <n v="2011"/>
    <n v="0"/>
    <n v="0"/>
    <n v="0"/>
    <n v="1"/>
    <n v="1"/>
    <n v="1"/>
    <n v="1"/>
    <n v="0"/>
    <n v="0"/>
    <n v="0"/>
    <n v="0"/>
    <n v="0"/>
    <n v="0"/>
    <n v="0"/>
    <n v="0"/>
    <n v="0"/>
    <n v="0"/>
    <n v="0"/>
    <n v="0"/>
    <n v="0"/>
  </r>
  <r>
    <x v="52"/>
    <s v="ZMB"/>
    <s v="PRGT"/>
    <s v="Extended Credit Facility"/>
    <d v="2022-08-31T00:00:00"/>
    <d v="2025-10-30T00:00:00"/>
    <n v="978200000"/>
    <n v="100"/>
    <s v="N"/>
    <s v="N"/>
    <d v="2025-10-30T00:00:00"/>
    <n v="1271660000"/>
    <n v="130"/>
    <n v="992860000"/>
    <n v="992860000"/>
    <s v="Current"/>
    <n v="2022"/>
    <n v="2024"/>
    <n v="0"/>
    <n v="0"/>
    <n v="0"/>
    <n v="0"/>
    <n v="0"/>
    <n v="0"/>
    <n v="0"/>
    <n v="0"/>
    <n v="0"/>
    <n v="0"/>
    <n v="0"/>
    <n v="0"/>
    <n v="0"/>
    <n v="0"/>
    <n v="0"/>
    <n v="0"/>
    <n v="0"/>
    <n v="1"/>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ADF6FC-4E09-4689-AA3F-C4322CF46F6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N10:BH64" firstHeaderRow="0" firstDataRow="1" firstDataCol="1"/>
  <pivotFields count="38">
    <pivotField axis="axisRow"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showAll="0"/>
    <pivotField showAll="0"/>
    <pivotField numFmtId="15" showAll="0"/>
    <pivotField numFmtId="15" showAll="0"/>
    <pivotField numFmtId="3" showAll="0"/>
    <pivotField showAll="0"/>
    <pivotField showAll="0"/>
    <pivotField showAll="0"/>
    <pivotField numFmtId="15" showAll="0"/>
    <pivotField numFmtId="3"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name="Sum of 2005" fld="18" baseField="0" baseItem="0"/>
    <dataField name="Sum of 2006" fld="19" baseField="0" baseItem="0"/>
    <dataField name="Sum of 2007" fld="20" baseField="0" baseItem="0"/>
    <dataField name="Sum of 2008" fld="21" baseField="0" baseItem="0"/>
    <dataField name="Sum of 2009" fld="22" baseField="0" baseItem="0"/>
    <dataField name="Sum of 2010" fld="23" baseField="0" baseItem="0"/>
    <dataField name="Sum of 2011" fld="24" baseField="0" baseItem="0"/>
    <dataField name="Sum of 2012" fld="25" baseField="0" baseItem="0"/>
    <dataField name="Sum of 2013" fld="26" baseField="0" baseItem="0"/>
    <dataField name="Sum of 2014" fld="27" baseField="0" baseItem="0"/>
    <dataField name="Sum of 2015" fld="28" baseField="0" baseItem="0"/>
    <dataField name="Sum of 2016" fld="29" baseField="0" baseItem="0"/>
    <dataField name="Sum of 2017" fld="30" baseField="0" baseItem="0"/>
    <dataField name="Sum of 2018" fld="31" baseField="0" baseItem="0"/>
    <dataField name="Sum of 2019" fld="32" baseField="0" baseItem="0"/>
    <dataField name="Sum of 2020" fld="33" baseField="0" baseItem="0"/>
    <dataField name="Sum of 2021" fld="34" baseField="0" baseItem="0"/>
    <dataField name="Sum of 2022" fld="35" baseField="0" baseItem="0"/>
    <dataField name="Sum of 2023" fld="36" baseField="0" baseItem="0"/>
    <dataField name="Sum of 2024" fld="3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ED13CE-15D3-4DF0-9326-3FD01FE39495}" name="Table1" displayName="Table1" ref="B1:BP71" totalsRowShown="0" headerRowDxfId="135" dataDxfId="134" tableBorderDxfId="133">
  <tableColumns count="67">
    <tableColumn id="1" xr3:uid="{A832E24E-5FED-4F5E-AB64-F97A1EC93C05}" name="Country Name"/>
    <tableColumn id="67" xr3:uid="{4A8F7D81-DDF3-4D38-9A10-212D34DDC261}" name="Focus Group"/>
    <tableColumn id="51" xr3:uid="{438EC47B-0198-4705-B644-A1E169B7D657}" name="LIDC" dataDxfId="132"/>
    <tableColumn id="14" xr3:uid="{46A79760-F4C3-4B8E-A94C-C1AC52EB4376}" name="Region" dataDxfId="131"/>
    <tableColumn id="59" xr3:uid="{3E416931-0915-47DE-9155-5B911EF8BC3D}" name="Monetary Union" dataDxfId="130"/>
    <tableColumn id="2" xr3:uid="{5AEB4F25-417C-41C9-8652-E0B1FEEC352A}" name="CEx" dataDxfId="129"/>
    <tableColumn id="3" xr3:uid="{83A937DA-893D-4A63-8342-710318AFED9A}" name="FCS" dataDxfId="128"/>
    <tableColumn id="4" xr3:uid="{DBF1268F-5A87-48CB-851F-797A1E8FC1F6}" name="SDS" dataDxfId="127"/>
    <tableColumn id="61" xr3:uid="{ABACE0EC-1FC1-4DA4-BE27-44D1A53659E8}" name="Debt rule in place (2021)" dataDxfId="126"/>
    <tableColumn id="60" xr3:uid="{0C8A537B-0623-4C01-80DD-63DD037EF1FD}" name="Fiscal rule in place (other than debt rule, 2021)" dataDxfId="125"/>
    <tableColumn id="5" xr3:uid="{52F1E039-6555-4ADC-AC8B-D617EF59DC55}" name="Had Program (PRGT, UCT)" dataDxfId="124"/>
    <tableColumn id="15" xr3:uid="{478201FF-D5ED-4582-81FE-07F5BE02C190}" name="Has Ongoing Program (PRGT, UCT)" dataDxfId="123"/>
    <tableColumn id="6" xr3:uid="{AD1004AF-0404-44BB-B0D9-48B2B1324CF8}" name="Nb Program 05:24 (PRGT, UCT)" dataDxfId="122"/>
    <tableColumn id="7" xr3:uid="{3795866A-4D2D-4D28-9976-CA2F2E772B28}" name="Had Multiple Programs (PRGT, UCT)" dataDxfId="121"/>
    <tableColumn id="13" xr3:uid="{9B390190-4365-418F-A0E1-8800F686A710}" name="Repeated Programs (7/10) (PRGT, UCT)" dataDxfId="120"/>
    <tableColumn id="52" xr3:uid="{D4976492-9AAF-430E-BFB9-1CFF27791062}" name="RST" dataDxfId="119"/>
    <tableColumn id="8" xr3:uid="{7F3F469F-7C99-43B4-94AE-D41EA2A6B792}" name="HIPC" dataDxfId="118"/>
    <tableColumn id="35" xr3:uid="{7D658058-2451-48ED-A707-8941E129BC90}" name="HIPC Completion Date" dataDxfId="117"/>
    <tableColumn id="9" xr3:uid="{2480D0A3-6FA1-4197-8684-8C97F0FE665C}" name="DR (post-HIPC)" dataDxfId="116"/>
    <tableColumn id="53" xr3:uid="{CEF2FADF-51D1-46BA-A0B0-7C4FB8A2CD8C}" name="DSSI Eligible &amp; Participant" dataDxfId="115"/>
    <tableColumn id="54" xr3:uid="{B3C6A836-F757-4B71-8004-01D1B4A55750}" name="DSSI Eligible &amp; Non Participant" dataDxfId="114"/>
    <tableColumn id="10" xr3:uid="{258FDCBB-B9B9-458D-8B0A-099D81BEB90D}" name="Frontier Markets" dataDxfId="113"/>
    <tableColumn id="11" xr3:uid="{ED0875B9-1F8F-4FD6-95D2-A5AB44616BBE}" name="PRGT Lending Tiers" dataDxfId="112"/>
    <tableColumn id="31" xr3:uid="{3DA39F7E-D5FD-448F-AC02-B23413C5C8D4}" name="LIC Classification by Income " dataDxfId="111"/>
    <tableColumn id="18" xr3:uid="{D051B5B0-A166-4E59-AAA4-FD153324BF96}" name="DSA Rating in 2005:07" dataDxfId="110"/>
    <tableColumn id="16" xr3:uid="{FA6225C4-A35B-4865-B16D-1785747A7841}" name="DSA Rating post HIPC if completion date after 2005" dataDxfId="109"/>
    <tableColumn id="33" xr3:uid="{A9878617-56ED-4105-8170-889BB86AC3E5}" name="Latest DSA Rating - External Debt Distress" dataDxfId="108"/>
    <tableColumn id="17" xr3:uid="{81123D44-0C0C-43B2-B0E8-5BEEAF336432}" name="Latest DSA Rating - Overall Debt Distress" dataDxfId="107"/>
    <tableColumn id="34" xr3:uid="{33BA98C2-8BAA-4D2E-8AE4-C7991C5E60BC}" name="Date of Last DSA" dataDxfId="106"/>
    <tableColumn id="45" xr3:uid="{11D97F90-EB29-45C3-8360-542EBA7952A8}" name="Had &quot;In debt distress&quot; rating post HIPC/2005" dataDxfId="105"/>
    <tableColumn id="46" xr3:uid="{DEA68ECC-0440-473F-BB8E-610C2D61817F}" name="Risk rating evolution" dataDxfId="104"/>
    <tableColumn id="21" xr3:uid="{D30E53BA-4ACE-4B04-A5A8-D9C12E8A0BE9}" name="2012/13 DCC" dataDxfId="103"/>
    <tableColumn id="19" xr3:uid="{D9792D28-D1B0-4920-9A7F-2625FD72D061}" name="2012 CPIA" dataDxfId="102"/>
    <tableColumn id="22" xr3:uid="{6BD89BC0-9094-40E3-80ED-0835308CFD6D}" name="Latest DCC" dataDxfId="101"/>
    <tableColumn id="20" xr3:uid="{3955B3F3-D170-4DA2-BAF1-D8866310AF2B}" name="2023 CPIA" dataDxfId="100"/>
    <tableColumn id="47" xr3:uid="{882A476E-31A9-4247-8962-7DA98CE354D5}" name="DCC evolution" dataDxfId="99"/>
    <tableColumn id="58" xr3:uid="{FB4EC005-18B7-46F2-BF0A-CEBC2AF3219F}" name="SoE's debt coverage (average used value in LIC-DSF, 2013-2024, default = 2)" dataDxfId="98"/>
    <tableColumn id="57" xr3:uid="{2CCD219F-C485-4994-BD79-46F403EA4908}" name="PPP debt coverage (average used value in LIC-DSF, 2013-2024, default = 35)" dataDxfId="97"/>
    <tableColumn id="23" xr3:uid="{4CE84A0B-EDFE-4C0A-9A6C-6239350939DB}" name="Share of Domestic Debt (2005)" dataDxfId="96"/>
    <tableColumn id="24" xr3:uid="{043EC69F-5FA0-449F-997C-DEB6CC042D7C}" name="Share of Domestic Debt (2023)" dataDxfId="95"/>
    <tableColumn id="44" xr3:uid="{5E625517-7818-4659-B0C8-38115BB7F3F5}" name="Domestic Debt Exposure (2005), Quartile" dataDxfId="94"/>
    <tableColumn id="25" xr3:uid="{A06BAB31-26F8-410F-92E3-2112C8ACB3CC}" name="Domestic Debt Exposure (2023), Quartile" dataDxfId="93"/>
    <tableColumn id="50" xr3:uid="{45EE634F-9FE8-448B-85DB-4128C0E8969E}" name="Change 2005/2023" dataDxfId="92">
      <calculatedColumnFormula>Table1[[#This Row],[Share of Domestic Debt (2023)]]-Table1[[#This Row],[Share of Domestic Debt (2005)]]</calculatedColumnFormula>
    </tableColumn>
    <tableColumn id="48" xr3:uid="{CF28EF29-7CDF-445F-A48D-1D27A3EE1CE6}" name="Domestic Debt Exposure evolution" dataDxfId="91"/>
    <tableColumn id="39" xr3:uid="{737CEEC0-CD32-47FA-B75C-15CC85D0D192}" name="First Creditor on LT External Debt" dataDxfId="90"/>
    <tableColumn id="40" xr3:uid="{91025EFD-ED2E-4A8B-B221-8180FBB3F85A}" name="Exposure to China above median (10.4%)" dataDxfId="89"/>
    <tableColumn id="36" xr3:uid="{6C6F426F-D628-4667-974B-2580FF64C08C}" name="Average Share External Debt to China 2014:23" dataDxfId="88"/>
    <tableColumn id="26" xr3:uid="{DD334429-1EC8-4341-BF88-7D539DE39AD5}" name="Average Share External Debt to Private 2014:23" dataDxfId="87"/>
    <tableColumn id="37" xr3:uid="{F6F89F48-7182-4F07-BBC9-4E7E36FF20F4}" name="Average Share External Debt to Bilat (excl CHN) 2014:24" dataDxfId="86"/>
    <tableColumn id="38" xr3:uid="{F8405556-CD84-486F-9568-E64A6F3D997E}" name="Average Share External Debt to WB 2014:25" dataDxfId="85"/>
    <tableColumn id="55" xr3:uid="{F4938AB3-76FB-49F9-992A-04BA63E9BFB2}" name="Average Share External Debt to TDB 2014:26" dataDxfId="84"/>
    <tableColumn id="56" xr3:uid="{84DD6F3F-17EF-4D2E-9BC1-924B5A9F3A81}" name="Average Share External Debt to other Multi 2014:27" dataDxfId="83"/>
    <tableColumn id="27" xr3:uid="{94B39659-CC71-4E96-8A1B-3FFD87A6D7A0}" name="Liquidity (INT/X) 2005" dataDxfId="82"/>
    <tableColumn id="28" xr3:uid="{8DDE23C5-C0F1-4171-9F84-D250D6557355}" name="Liquidity (INT/REV) 2005" dataDxfId="81"/>
    <tableColumn id="29" xr3:uid="{D9F83264-1A52-43B2-ADF9-B675C827B9A2}" name="Liquidity (INT/X) 2024" dataDxfId="80"/>
    <tableColumn id="30" xr3:uid="{4AC002BB-F534-48EE-B4F6-9F7CB5C8DDD2}" name="Liquidity (INT/REV) 2024" dataDxfId="79"/>
    <tableColumn id="32" xr3:uid="{B40C5145-D76F-4F47-8B56-997F303DA7C4}" name="Liquidity Exposure (INT/REV) 2005, Quartile" dataDxfId="78"/>
    <tableColumn id="41" xr3:uid="{57E245DE-7ADB-437F-B0D0-FE67D9F279E4}" name="Liquidity Exposure (INT/REV) 2024, Quartile" dataDxfId="77"/>
    <tableColumn id="43" xr3:uid="{EE0A4998-3313-44F5-8A05-56464E3886B3}" name="Liquidity Exposure (INT/X) 2005, Quartile" dataDxfId="76"/>
    <tableColumn id="42" xr3:uid="{1AEC9F51-47E5-481D-95F1-CAB90B428646}" name="Liquidity Exposure (INT/X) 2024, Quartile" dataDxfId="75"/>
    <tableColumn id="49" xr3:uid="{27AA36DA-DA49-4016-8119-5C81D7FBA1EE}" name="Liquidity risk evolution" dataDxfId="74"/>
    <tableColumn id="12" xr3:uid="{326DF14B-1DB5-446A-BA52-261771E2EC97}" name="Comments" dataDxfId="73"/>
    <tableColumn id="62" xr3:uid="{8BCCAFDA-4F0A-44ED-9731-1A9F479F409C}" name="BP1" dataDxfId="72"/>
    <tableColumn id="63" xr3:uid="{F5958DB5-3427-4C96-B6AF-7EF5610AE4C5}" name="BP2" dataDxfId="71"/>
    <tableColumn id="64" xr3:uid="{2852049E-2493-4495-ADC1-F1F87AC1E1AC}" name="BP3" dataDxfId="70"/>
    <tableColumn id="65" xr3:uid="{75941D77-EFBA-4ECC-964B-A1419B92F1B1}" name="BP4" dataDxfId="69"/>
    <tableColumn id="66" xr3:uid="{E9DE2F99-1D93-41EE-AB6E-11656CFFFBDE}" name="BP5" dataDxfId="6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C0EDAC-2703-4726-87CE-7D2218BF8CA1}" name="Table13" displayName="Table13" ref="A1:BI71" totalsRowShown="0" headerRowDxfId="67" dataDxfId="66" tableBorderDxfId="65">
  <autoFilter ref="A1:BI71" xr:uid="{C9C0EDAC-2703-4726-87CE-7D2218BF8CA1}"/>
  <sortState xmlns:xlrd2="http://schemas.microsoft.com/office/spreadsheetml/2017/richdata2" ref="A2:BI71">
    <sortCondition ref="A1:A71"/>
  </sortState>
  <tableColumns count="61">
    <tableColumn id="1" xr3:uid="{FEB14619-47E1-4EEA-AAD0-C97EBA8D2DB8}" name="Country Name"/>
    <tableColumn id="12" xr3:uid="{5A71089E-39CC-431A-AB66-6F81D09AFA62}" name="Focus Group"/>
    <tableColumn id="51" xr3:uid="{385EF310-51EC-476E-99E4-5061CC2EEA42}" name="LIDC" dataDxfId="64"/>
    <tableColumn id="14" xr3:uid="{0F2C3180-BFB0-440F-B778-984039843101}" name="Region" dataDxfId="63"/>
    <tableColumn id="59" xr3:uid="{E6442514-DA5C-453C-8A55-1D03F499438C}" name="Monetary Union" dataDxfId="62"/>
    <tableColumn id="2" xr3:uid="{26E494F1-87EA-489A-98D2-4CE984E28438}" name="CEx" dataDxfId="61"/>
    <tableColumn id="3" xr3:uid="{63109527-27F7-4546-829A-930EA6275070}" name="FCS" dataDxfId="60"/>
    <tableColumn id="4" xr3:uid="{3EF2BD34-8DF1-4A00-948F-3E350162CA5F}" name="SDS" dataDxfId="59"/>
    <tableColumn id="61" xr3:uid="{9B1D6B8A-ABFD-4068-B5C6-C477702ED7F4}" name="Debt rule in place (2021)" dataDxfId="58"/>
    <tableColumn id="60" xr3:uid="{1368F9F7-E138-4543-8500-B1411955421A}" name="Fiscal rule in place (other than debt rule, 2021)" dataDxfId="57"/>
    <tableColumn id="5" xr3:uid="{867679A2-EB59-4CA5-B8C0-A6370321D85C}" name="Had Program (PRGT, UCT)" dataDxfId="56"/>
    <tableColumn id="15" xr3:uid="{7413F88A-FCBE-4490-A837-DBDC4624CDB9}" name="Has Ongoing Program (PRGT, UCT)" dataDxfId="55"/>
    <tableColumn id="6" xr3:uid="{436FF830-30F4-4FD2-BCF1-47890104E47D}" name="Nb Program 05:24 (PRGT, UCT)" dataDxfId="54"/>
    <tableColumn id="7" xr3:uid="{EFE26247-B006-4762-BB2A-57BF2CD95C3C}" name="Had Multiple Programs (PRGT, UCT)" dataDxfId="53"/>
    <tableColumn id="13" xr3:uid="{B5CE223C-A7D5-4BCE-8A54-E09772B287BF}" name="Repeated Programs (7/10) (PRGT, UCT)" dataDxfId="52"/>
    <tableColumn id="52" xr3:uid="{C0C56118-3090-4DB1-A619-401D392B3696}" name="RST" dataDxfId="51"/>
    <tableColumn id="8" xr3:uid="{3F210D91-7A4F-4EB1-A130-E6B1AD900063}" name="HIPC" dataDxfId="50"/>
    <tableColumn id="35" xr3:uid="{D04F91B2-D9BB-46CD-8346-45441BE936D6}" name="HIPC Completion Date" dataDxfId="49"/>
    <tableColumn id="9" xr3:uid="{3887F41E-166A-4071-93E0-5E1553FCA0FA}" name="DR (post-HIPC)" dataDxfId="48"/>
    <tableColumn id="53" xr3:uid="{1FCCFC00-5DEC-4282-8EB5-615C766B5AA9}" name="DSSI Eligible &amp; Participant" dataDxfId="47"/>
    <tableColumn id="54" xr3:uid="{E859BBD4-2D04-42A2-9ADA-CD792E232BD1}" name="DSSI Eligible &amp; Non Participant" dataDxfId="46"/>
    <tableColumn id="10" xr3:uid="{C6298CF7-4900-4D72-A440-338E42D5C4A2}" name="Frontier Markets" dataDxfId="45"/>
    <tableColumn id="11" xr3:uid="{04B619A7-56BB-4E49-9C0C-04BFF217D485}" name="PRGT Lending Tiers" dataDxfId="44"/>
    <tableColumn id="31" xr3:uid="{B8158CF0-9F54-476B-B04D-1DB75FE22413}" name="LIC Classification by Income " dataDxfId="43"/>
    <tableColumn id="18" xr3:uid="{CC32EEA0-C9A7-4406-8254-06A28F61DBDC}" name="DSA Rating in 2005:07" dataDxfId="42"/>
    <tableColumn id="16" xr3:uid="{5609B77B-9DD0-4165-BC9A-A95865CBC9B4}" name="DSA Rating post HIPC if completion date after 2005" dataDxfId="41"/>
    <tableColumn id="33" xr3:uid="{B9B30217-96B1-4907-A7ED-B72EEA9E90DB}" name="Latest DSA Rating - External Debt Distress" dataDxfId="40"/>
    <tableColumn id="17" xr3:uid="{07556DCF-8B9E-4CCF-9FC1-33455EB78960}" name="Latest DSA Rating - Overall Debt Distress" dataDxfId="39"/>
    <tableColumn id="34" xr3:uid="{3CCD122F-108F-4655-A407-E8D4F422423C}" name="Date of Last DSA" dataDxfId="38"/>
    <tableColumn id="45" xr3:uid="{92AF6039-B5CD-45BC-8308-E4CF759201A8}" name="Had &quot;In debt distress&quot; rating post HIPC/2005" dataDxfId="37"/>
    <tableColumn id="46" xr3:uid="{A74E7840-4069-422A-87A8-AF2F5C3FF9DA}" name="Risk rating evolution" dataDxfId="36"/>
    <tableColumn id="21" xr3:uid="{92A87974-A548-48F3-924E-ED650E40AD78}" name="2012/13 DCC" dataDxfId="35"/>
    <tableColumn id="19" xr3:uid="{86A8C21E-9128-4CEC-AD06-D0C61373CDC8}" name="2012 CPIA" dataDxfId="34"/>
    <tableColumn id="22" xr3:uid="{E59D5828-405F-488C-AFB1-D0065A2AB868}" name="Latest DCC" dataDxfId="33"/>
    <tableColumn id="20" xr3:uid="{7204EE8A-E14E-45E8-ABE5-2209B55EE358}" name="2023 CPIA" dataDxfId="32"/>
    <tableColumn id="47" xr3:uid="{C76C6709-452C-4D49-A80B-0C463F907B18}" name="DCC evolution" dataDxfId="31"/>
    <tableColumn id="58" xr3:uid="{7255F2E3-F158-49C0-B8A4-DAD571B3781E}" name="SoE's debt coverage (average used value in LIC-DSF, 2013-2024, default = 2)" dataDxfId="30"/>
    <tableColumn id="57" xr3:uid="{E6C3A450-4425-4EC6-BF5A-CA284C6DA565}" name="PPP debt coverage (average used value in LIC-DSF, 2013-2024, default = 35)" dataDxfId="29"/>
    <tableColumn id="23" xr3:uid="{94EB9E14-DA4C-4317-9E9F-F122473ACC8C}" name="Share of Domestic Debt (2005)" dataDxfId="28"/>
    <tableColumn id="24" xr3:uid="{A8C5065A-6E45-452F-9D20-3F8B14019029}" name="Share of Domestic Debt (2023)" dataDxfId="27"/>
    <tableColumn id="44" xr3:uid="{799C6942-B63C-491E-9B3E-E3064E29276F}" name="Domestic Debt Exposure (2005), Quartile" dataDxfId="26"/>
    <tableColumn id="25" xr3:uid="{8D0C4279-4300-4B6A-88AC-7FCE373758D1}" name="Domestic Debt Exposure (2023), Quartile" dataDxfId="25"/>
    <tableColumn id="50" xr3:uid="{C956ED4A-68A0-453C-A236-B96BF6258C42}" name="Change 2005/2023" dataDxfId="24">
      <calculatedColumnFormula>Table13[[#This Row],[Share of Domestic Debt (2023)]]-Table13[[#This Row],[Share of Domestic Debt (2005)]]</calculatedColumnFormula>
    </tableColumn>
    <tableColumn id="48" xr3:uid="{CF033395-2D30-428F-ACA0-BA5198728F3E}" name="Domestic Debt Exposure evolution" dataDxfId="23"/>
    <tableColumn id="39" xr3:uid="{A95EF5D1-4F3F-49FA-AD5C-CFC8B7882DCE}" name="First Creditor on LT External Debt" dataDxfId="22"/>
    <tableColumn id="40" xr3:uid="{E9CFF0A3-F1FC-4959-8AA9-66B60048C1B5}" name="Exposure to China above median (10.4%)" dataDxfId="21"/>
    <tableColumn id="36" xr3:uid="{B5D553DE-57D1-49CB-B237-097497346616}" name="Average Share External Debt to China 2014:23" dataDxfId="20"/>
    <tableColumn id="26" xr3:uid="{3A231549-294A-4029-9101-0A0E174B8BBF}" name="Average Share External Debt to Private 2014:23" dataDxfId="19"/>
    <tableColumn id="37" xr3:uid="{5140954F-835B-4F9C-B820-FD8EB3D5EDA6}" name="Average Share External Debt to Bilat (excl CHN) 2014:24" dataDxfId="18"/>
    <tableColumn id="38" xr3:uid="{ABDE5D89-398C-4909-A0EE-2D1229D30666}" name="Average Share External Debt to WB 2014:25" dataDxfId="17"/>
    <tableColumn id="55" xr3:uid="{FE97A773-94B7-45A6-9242-45ACBF89A18B}" name="Average Share External Debt to TDB 2014:26" dataDxfId="16"/>
    <tableColumn id="56" xr3:uid="{5BB7232C-155F-4329-B266-4E76231B0A1D}" name="Average Share External Debt to other Multi 2014:27" dataDxfId="15"/>
    <tableColumn id="27" xr3:uid="{FA642218-0F16-42BA-9DEB-8B1C5696ADEA}" name="Liquidity (INT/X) 2005" dataDxfId="14"/>
    <tableColumn id="28" xr3:uid="{60855154-E437-46C7-BB72-35BF8CA2CDB0}" name="Liquidity (INT/REV) 2005" dataDxfId="13"/>
    <tableColumn id="29" xr3:uid="{7FEB3483-2BA6-4E88-A7D3-98AF26231A31}" name="Liquidity (INT/X) 2024" dataDxfId="12"/>
    <tableColumn id="30" xr3:uid="{7F62C371-4A2B-4493-9FD8-16CA969AC940}" name="Liquidity (INT/REV) 2024" dataDxfId="11"/>
    <tableColumn id="32" xr3:uid="{EC328D4A-FDED-4811-8AFC-6AE8C69519C3}" name="Liquidity Exposure (INT/REV) 2005, Quartile" dataDxfId="10"/>
    <tableColumn id="41" xr3:uid="{BC666542-20DA-4ECD-BE8A-F8EFF7F4E8AE}" name="Liquidity Exposure (INT/REV) 2024, Quartile" dataDxfId="9"/>
    <tableColumn id="43" xr3:uid="{B6C83995-1B3B-46E9-BCB7-C36F23CE090F}" name="Liquidity Exposure (INT/X) 2005, Quartile" dataDxfId="8"/>
    <tableColumn id="42" xr3:uid="{D9FEC20C-C7A6-4E04-B8C8-98257D2AB69F}" name="Liquidity Exposure (INT/X) 2024, Quartile" dataDxfId="7"/>
    <tableColumn id="49" xr3:uid="{8B28C44B-ABE7-4AF4-B4DD-55BD471FFA3B}" name="Liquidity risk evolution" dataDxfId="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N70" dT="2025-04-25T13:42:27.48" personId="{159E45D9-EB85-47C2-9788-03181CC06ADB}" id="{2142AC8A-0400-430F-8714-B2D796BCEC3C}">
    <text>The program is expected to conclude in October 2025. Might be included in BP3 depending on the evaluation cutoff date for program</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B421B-A828-4D4C-9FDA-C8E7105933CE}">
  <sheetPr>
    <tabColor rgb="FF92D050"/>
    <pageSetUpPr fitToPage="1"/>
  </sheetPr>
  <dimension ref="A1:BP82"/>
  <sheetViews>
    <sheetView showGridLines="0" zoomScale="80" zoomScaleNormal="80" workbookViewId="0">
      <pane xSplit="2" ySplit="1" topLeftCell="C20" activePane="bottomRight" state="frozen"/>
      <selection pane="topRight" activeCell="C1" sqref="C1"/>
      <selection pane="bottomLeft" activeCell="A2" sqref="A2"/>
      <selection pane="bottomRight" activeCell="B23" sqref="B23"/>
    </sheetView>
  </sheetViews>
  <sheetFormatPr defaultRowHeight="12.5" x14ac:dyDescent="0.25"/>
  <cols>
    <col min="2" max="2" width="32.1796875" customWidth="1"/>
    <col min="3" max="3" width="7" customWidth="1"/>
    <col min="4" max="4" width="10.1796875" customWidth="1"/>
    <col min="5" max="6" width="10.54296875" customWidth="1"/>
    <col min="11" max="11" width="11" customWidth="1"/>
    <col min="12" max="13" width="14.1796875" customWidth="1"/>
    <col min="14" max="14" width="18.453125" customWidth="1"/>
    <col min="15" max="16" width="20" customWidth="1"/>
    <col min="17" max="17" width="10.453125" customWidth="1"/>
    <col min="20" max="22" width="15.81640625" customWidth="1"/>
    <col min="23" max="23" width="16.81640625" customWidth="1"/>
    <col min="24" max="62" width="20.26953125" customWidth="1"/>
    <col min="63" max="63" width="33.81640625" customWidth="1"/>
    <col min="64" max="64" width="9.81640625" customWidth="1"/>
  </cols>
  <sheetData>
    <row r="1" spans="1:68" ht="65" x14ac:dyDescent="0.3">
      <c r="A1" t="s">
        <v>0</v>
      </c>
      <c r="B1" s="3" t="s">
        <v>1</v>
      </c>
      <c r="C1" s="10" t="s">
        <v>2</v>
      </c>
      <c r="D1" s="3" t="s">
        <v>3</v>
      </c>
      <c r="E1" s="3" t="s">
        <v>4</v>
      </c>
      <c r="F1" s="10" t="s">
        <v>5</v>
      </c>
      <c r="G1" s="3" t="s">
        <v>6</v>
      </c>
      <c r="H1" s="3" t="s">
        <v>7</v>
      </c>
      <c r="I1" s="3" t="s">
        <v>8</v>
      </c>
      <c r="J1" s="57" t="s">
        <v>9</v>
      </c>
      <c r="K1" s="58" t="s">
        <v>10</v>
      </c>
      <c r="L1" s="10" t="s">
        <v>11</v>
      </c>
      <c r="M1" s="10" t="s">
        <v>12</v>
      </c>
      <c r="N1" s="10" t="s">
        <v>13</v>
      </c>
      <c r="O1" s="10" t="s">
        <v>14</v>
      </c>
      <c r="P1" s="10" t="s">
        <v>15</v>
      </c>
      <c r="Q1" s="10" t="s">
        <v>16</v>
      </c>
      <c r="R1" s="30" t="s">
        <v>17</v>
      </c>
      <c r="S1" s="3" t="s">
        <v>18</v>
      </c>
      <c r="T1" s="31" t="s">
        <v>19</v>
      </c>
      <c r="U1" s="52" t="s">
        <v>20</v>
      </c>
      <c r="V1" s="53" t="s">
        <v>21</v>
      </c>
      <c r="W1" s="30" t="s">
        <v>22</v>
      </c>
      <c r="X1" s="3" t="s">
        <v>23</v>
      </c>
      <c r="Y1" s="10" t="s">
        <v>24</v>
      </c>
      <c r="Z1" s="28" t="s">
        <v>25</v>
      </c>
      <c r="AA1" s="10" t="s">
        <v>26</v>
      </c>
      <c r="AB1" s="10" t="s">
        <v>27</v>
      </c>
      <c r="AC1" s="10" t="s">
        <v>28</v>
      </c>
      <c r="AD1" s="10" t="s">
        <v>29</v>
      </c>
      <c r="AE1" s="10" t="s">
        <v>30</v>
      </c>
      <c r="AF1" s="22" t="s">
        <v>31</v>
      </c>
      <c r="AG1" s="10" t="s">
        <v>32</v>
      </c>
      <c r="AH1" s="10" t="s">
        <v>33</v>
      </c>
      <c r="AI1" s="10" t="s">
        <v>34</v>
      </c>
      <c r="AJ1" s="10" t="s">
        <v>35</v>
      </c>
      <c r="AK1" s="10" t="s">
        <v>36</v>
      </c>
      <c r="AL1" s="57" t="s">
        <v>37</v>
      </c>
      <c r="AM1" s="66" t="s">
        <v>38</v>
      </c>
      <c r="AN1" s="10" t="s">
        <v>39</v>
      </c>
      <c r="AO1" s="10" t="s">
        <v>40</v>
      </c>
      <c r="AP1" s="10" t="s">
        <v>41</v>
      </c>
      <c r="AQ1" s="10" t="s">
        <v>42</v>
      </c>
      <c r="AR1" s="10" t="s">
        <v>43</v>
      </c>
      <c r="AS1" s="22" t="s">
        <v>44</v>
      </c>
      <c r="AT1" s="10" t="s">
        <v>45</v>
      </c>
      <c r="AU1" s="10" t="s">
        <v>46</v>
      </c>
      <c r="AV1" s="10" t="s">
        <v>47</v>
      </c>
      <c r="AW1" s="10" t="s">
        <v>48</v>
      </c>
      <c r="AX1" s="10" t="s">
        <v>49</v>
      </c>
      <c r="AY1" s="10" t="s">
        <v>50</v>
      </c>
      <c r="AZ1" s="10" t="s">
        <v>51</v>
      </c>
      <c r="BA1" s="10" t="s">
        <v>52</v>
      </c>
      <c r="BB1" s="28" t="s">
        <v>53</v>
      </c>
      <c r="BC1" s="10" t="s">
        <v>54</v>
      </c>
      <c r="BD1" s="10" t="s">
        <v>55</v>
      </c>
      <c r="BE1" s="10" t="s">
        <v>56</v>
      </c>
      <c r="BF1" s="10" t="s">
        <v>57</v>
      </c>
      <c r="BG1" s="10" t="s">
        <v>58</v>
      </c>
      <c r="BH1" s="10" t="s">
        <v>59</v>
      </c>
      <c r="BI1" s="10" t="s">
        <v>60</v>
      </c>
      <c r="BJ1" s="10" t="s">
        <v>61</v>
      </c>
      <c r="BK1" s="76" t="s">
        <v>62</v>
      </c>
      <c r="BL1" s="3" t="s">
        <v>63</v>
      </c>
      <c r="BM1" s="3" t="s">
        <v>64</v>
      </c>
      <c r="BN1" s="3" t="s">
        <v>65</v>
      </c>
      <c r="BO1" s="3" t="s">
        <v>66</v>
      </c>
      <c r="BP1" s="3" t="s">
        <v>67</v>
      </c>
    </row>
    <row r="2" spans="1:68" ht="16" x14ac:dyDescent="0.45">
      <c r="A2" s="11">
        <v>512</v>
      </c>
      <c r="B2" t="s">
        <v>68</v>
      </c>
      <c r="D2" s="4">
        <v>1</v>
      </c>
      <c r="E2" s="4" t="s">
        <v>69</v>
      </c>
      <c r="F2" s="4"/>
      <c r="G2" s="4">
        <v>1</v>
      </c>
      <c r="H2" s="4">
        <v>1</v>
      </c>
      <c r="I2" s="4"/>
      <c r="J2" s="55"/>
      <c r="K2" s="56"/>
      <c r="L2" s="4">
        <v>1</v>
      </c>
      <c r="M2" s="4"/>
      <c r="N2" s="4">
        <v>4</v>
      </c>
      <c r="O2" s="4">
        <v>1</v>
      </c>
      <c r="P2" s="4">
        <v>1</v>
      </c>
      <c r="Q2" s="4"/>
      <c r="R2" s="29">
        <v>1</v>
      </c>
      <c r="S2" s="4">
        <v>2010</v>
      </c>
      <c r="T2" s="32"/>
      <c r="U2" s="54">
        <v>1</v>
      </c>
      <c r="V2" s="32"/>
      <c r="W2" s="29"/>
      <c r="X2" s="4">
        <v>1</v>
      </c>
      <c r="Y2" s="4">
        <v>1</v>
      </c>
      <c r="Z2" s="29" t="s">
        <v>70</v>
      </c>
      <c r="AA2" s="4" t="s">
        <v>70</v>
      </c>
      <c r="AB2" s="4" t="s">
        <v>70</v>
      </c>
      <c r="AC2" s="4" t="s">
        <v>70</v>
      </c>
      <c r="AD2" s="23" t="s">
        <v>71</v>
      </c>
      <c r="AE2" s="23" t="s">
        <v>72</v>
      </c>
      <c r="AF2" s="24" t="s">
        <v>73</v>
      </c>
      <c r="AG2" s="4" t="s">
        <v>74</v>
      </c>
      <c r="AH2" s="4">
        <v>2.68</v>
      </c>
      <c r="AI2" s="4" t="s">
        <v>74</v>
      </c>
      <c r="AJ2" s="4">
        <v>1.66</v>
      </c>
      <c r="AK2" s="4" t="s">
        <v>75</v>
      </c>
      <c r="AL2" s="63">
        <v>2</v>
      </c>
      <c r="AM2" s="61">
        <v>0</v>
      </c>
      <c r="AN2" s="13" t="s">
        <v>76</v>
      </c>
      <c r="AO2" s="13" t="s">
        <v>76</v>
      </c>
      <c r="AP2" s="14" t="s">
        <v>76</v>
      </c>
      <c r="AQ2" s="14" t="s">
        <v>76</v>
      </c>
      <c r="AR2" s="13" t="s">
        <v>76</v>
      </c>
      <c r="AS2" s="35" t="s">
        <v>76</v>
      </c>
      <c r="AT2" s="4" t="s">
        <v>77</v>
      </c>
      <c r="AU2" s="4">
        <v>0</v>
      </c>
      <c r="AV2" s="4">
        <v>0</v>
      </c>
      <c r="AW2" s="4">
        <v>0</v>
      </c>
      <c r="AX2" s="4">
        <v>50.1</v>
      </c>
      <c r="AY2" s="4">
        <v>17.7</v>
      </c>
      <c r="AZ2" s="4">
        <v>0</v>
      </c>
      <c r="BA2" s="4">
        <v>32.200000000000003</v>
      </c>
      <c r="BB2" s="34">
        <v>0.18267130243451471</v>
      </c>
      <c r="BC2" s="13">
        <v>0.32237928512127523</v>
      </c>
      <c r="BD2" s="13" t="s">
        <v>76</v>
      </c>
      <c r="BE2" s="13" t="s">
        <v>76</v>
      </c>
      <c r="BF2" s="14">
        <v>1</v>
      </c>
      <c r="BG2" s="14" t="s">
        <v>76</v>
      </c>
      <c r="BH2" s="14">
        <v>1</v>
      </c>
      <c r="BI2" s="14" t="s">
        <v>76</v>
      </c>
      <c r="BJ2" s="14"/>
      <c r="BK2" s="77"/>
      <c r="BL2" s="75"/>
      <c r="BM2" s="4"/>
      <c r="BN2" s="4"/>
      <c r="BO2" s="4"/>
      <c r="BP2" s="4"/>
    </row>
    <row r="3" spans="1:68" ht="16" x14ac:dyDescent="0.45">
      <c r="A3" s="11">
        <v>513</v>
      </c>
      <c r="B3" t="s">
        <v>78</v>
      </c>
      <c r="D3" s="4">
        <v>1</v>
      </c>
      <c r="E3" s="4" t="s">
        <v>79</v>
      </c>
      <c r="F3" s="4"/>
      <c r="G3" s="4"/>
      <c r="H3" s="4"/>
      <c r="I3" s="4"/>
      <c r="J3" s="55"/>
      <c r="K3" s="56"/>
      <c r="L3" s="4">
        <v>1</v>
      </c>
      <c r="M3" s="4">
        <v>1</v>
      </c>
      <c r="N3" s="4">
        <v>2</v>
      </c>
      <c r="O3" s="4">
        <v>1</v>
      </c>
      <c r="P3" s="4">
        <v>0</v>
      </c>
      <c r="Q3" s="4">
        <v>1</v>
      </c>
      <c r="R3" s="29"/>
      <c r="S3" s="4"/>
      <c r="T3" s="32"/>
      <c r="U3" s="54"/>
      <c r="V3" s="32">
        <v>1</v>
      </c>
      <c r="W3" s="29"/>
      <c r="X3" s="4" t="s">
        <v>80</v>
      </c>
      <c r="Y3" s="4">
        <v>3</v>
      </c>
      <c r="Z3" s="29" t="s">
        <v>81</v>
      </c>
      <c r="AA3" s="4"/>
      <c r="AB3" s="4" t="s">
        <v>81</v>
      </c>
      <c r="AC3" s="4" t="s">
        <v>81</v>
      </c>
      <c r="AD3" s="23" t="s">
        <v>82</v>
      </c>
      <c r="AE3" s="23" t="s">
        <v>72</v>
      </c>
      <c r="AF3" s="24" t="s">
        <v>83</v>
      </c>
      <c r="AG3" s="4" t="s">
        <v>84</v>
      </c>
      <c r="AH3" s="4">
        <v>3.28</v>
      </c>
      <c r="AI3" s="4" t="s">
        <v>84</v>
      </c>
      <c r="AJ3" s="4">
        <v>3.12</v>
      </c>
      <c r="AK3" s="4" t="s">
        <v>75</v>
      </c>
      <c r="AL3" s="64">
        <v>2</v>
      </c>
      <c r="AM3" s="61">
        <v>0</v>
      </c>
      <c r="AN3" s="13">
        <v>39.14966879725096</v>
      </c>
      <c r="AO3" s="13">
        <v>55.518192019935029</v>
      </c>
      <c r="AP3" s="14">
        <v>4</v>
      </c>
      <c r="AQ3" s="14">
        <v>4</v>
      </c>
      <c r="AR3" s="13">
        <f>Table1[[#This Row],[Share of Domestic Debt (2023)]]-Table1[[#This Row],[Share of Domestic Debt (2005)]]</f>
        <v>16.368523222684068</v>
      </c>
      <c r="AS3" s="35" t="s">
        <v>85</v>
      </c>
      <c r="AT3" s="4" t="s">
        <v>86</v>
      </c>
      <c r="AU3" s="4">
        <v>0</v>
      </c>
      <c r="AV3" s="4">
        <v>6.4</v>
      </c>
      <c r="AW3" s="4">
        <v>9.9</v>
      </c>
      <c r="AX3" s="4">
        <v>20.8</v>
      </c>
      <c r="AY3" s="4">
        <v>34.799999999999997</v>
      </c>
      <c r="AZ3" s="4">
        <v>0</v>
      </c>
      <c r="BA3" s="4">
        <v>28.1</v>
      </c>
      <c r="BB3" s="34">
        <v>9.8533271036464054</v>
      </c>
      <c r="BC3" s="13">
        <v>15.360121264378307</v>
      </c>
      <c r="BD3" s="13">
        <v>17.647151958623081</v>
      </c>
      <c r="BE3" s="13">
        <v>20.830910055039357</v>
      </c>
      <c r="BF3" s="14">
        <v>4</v>
      </c>
      <c r="BG3" s="14">
        <v>4</v>
      </c>
      <c r="BH3" s="14">
        <v>4</v>
      </c>
      <c r="BI3" s="14">
        <v>4</v>
      </c>
      <c r="BJ3" s="14" t="s">
        <v>87</v>
      </c>
      <c r="BK3" s="77"/>
      <c r="BL3" s="75"/>
      <c r="BM3" s="4"/>
      <c r="BN3" s="4"/>
      <c r="BO3" s="4"/>
      <c r="BP3" s="4"/>
    </row>
    <row r="4" spans="1:68" ht="16" x14ac:dyDescent="0.45">
      <c r="A4" s="11">
        <v>638</v>
      </c>
      <c r="B4" t="s">
        <v>88</v>
      </c>
      <c r="D4" s="4">
        <v>1</v>
      </c>
      <c r="E4" s="4" t="s">
        <v>89</v>
      </c>
      <c r="F4" s="4" t="s">
        <v>90</v>
      </c>
      <c r="G4" s="4">
        <v>1</v>
      </c>
      <c r="H4" s="4"/>
      <c r="I4" s="4"/>
      <c r="J4" s="55">
        <v>1</v>
      </c>
      <c r="K4" s="56">
        <v>1</v>
      </c>
      <c r="L4" s="4">
        <v>1</v>
      </c>
      <c r="M4" s="4">
        <v>1</v>
      </c>
      <c r="N4" s="4">
        <v>4</v>
      </c>
      <c r="O4" s="4">
        <v>1</v>
      </c>
      <c r="P4" s="4">
        <v>1</v>
      </c>
      <c r="Q4" s="4">
        <v>1</v>
      </c>
      <c r="R4" s="29">
        <v>1</v>
      </c>
      <c r="S4" s="4">
        <v>2003</v>
      </c>
      <c r="T4" s="32"/>
      <c r="U4" s="54"/>
      <c r="V4" s="32">
        <v>1</v>
      </c>
      <c r="W4" s="29">
        <v>1</v>
      </c>
      <c r="X4" s="4" t="s">
        <v>80</v>
      </c>
      <c r="Y4" s="4">
        <v>2</v>
      </c>
      <c r="Z4" s="29" t="s">
        <v>91</v>
      </c>
      <c r="AA4" s="4"/>
      <c r="AB4" s="4" t="s">
        <v>91</v>
      </c>
      <c r="AC4" s="4" t="s">
        <v>91</v>
      </c>
      <c r="AD4" s="23" t="s">
        <v>92</v>
      </c>
      <c r="AE4" s="23" t="s">
        <v>72</v>
      </c>
      <c r="AF4" s="24" t="s">
        <v>93</v>
      </c>
      <c r="AG4" s="4" t="s">
        <v>84</v>
      </c>
      <c r="AH4" s="4">
        <v>3.47</v>
      </c>
      <c r="AI4" s="4" t="s">
        <v>84</v>
      </c>
      <c r="AJ4" s="4">
        <v>3.9</v>
      </c>
      <c r="AK4" s="4" t="s">
        <v>75</v>
      </c>
      <c r="AL4" s="64">
        <v>1.74</v>
      </c>
      <c r="AM4" s="61">
        <v>2.4999999999999929</v>
      </c>
      <c r="AN4" s="13">
        <v>14.087352051956401</v>
      </c>
      <c r="AO4" s="13">
        <v>33.713005000759836</v>
      </c>
      <c r="AP4" s="14">
        <v>1</v>
      </c>
      <c r="AQ4" s="14">
        <v>2</v>
      </c>
      <c r="AR4" s="13">
        <f>Table1[[#This Row],[Share of Domestic Debt (2023)]]-Table1[[#This Row],[Share of Domestic Debt (2005)]]</f>
        <v>19.625652948803435</v>
      </c>
      <c r="AS4" s="35" t="s">
        <v>94</v>
      </c>
      <c r="AT4" s="4" t="s">
        <v>86</v>
      </c>
      <c r="AU4" s="4">
        <v>0</v>
      </c>
      <c r="AV4" s="4">
        <v>8.9</v>
      </c>
      <c r="AW4" s="4">
        <v>20.100000000000001</v>
      </c>
      <c r="AX4" s="4">
        <v>5.2</v>
      </c>
      <c r="AY4" s="4">
        <v>31.6</v>
      </c>
      <c r="AZ4" s="4">
        <v>0</v>
      </c>
      <c r="BA4" s="4">
        <v>34.200000000000003</v>
      </c>
      <c r="BB4" s="34">
        <v>1.6992339412436255</v>
      </c>
      <c r="BC4" s="13">
        <v>1.5822543725615472</v>
      </c>
      <c r="BD4" s="13">
        <v>7.2674422702800321</v>
      </c>
      <c r="BE4" s="13">
        <v>11.727214166916269</v>
      </c>
      <c r="BF4" s="14">
        <v>1</v>
      </c>
      <c r="BG4" s="14">
        <v>3</v>
      </c>
      <c r="BH4" s="14">
        <v>1</v>
      </c>
      <c r="BI4" s="14">
        <v>3</v>
      </c>
      <c r="BJ4" s="14" t="s">
        <v>95</v>
      </c>
      <c r="BK4" s="77"/>
      <c r="BL4" s="75"/>
      <c r="BM4" s="4"/>
      <c r="BN4" s="4"/>
      <c r="BO4" s="4"/>
      <c r="BP4" s="4"/>
    </row>
    <row r="5" spans="1:68" ht="16" x14ac:dyDescent="0.45">
      <c r="A5" s="11">
        <v>514</v>
      </c>
      <c r="B5" t="s">
        <v>96</v>
      </c>
      <c r="D5" s="4">
        <v>1</v>
      </c>
      <c r="E5" s="4" t="s">
        <v>79</v>
      </c>
      <c r="F5" s="4"/>
      <c r="G5" s="4"/>
      <c r="H5" s="4"/>
      <c r="I5" s="4">
        <v>1</v>
      </c>
      <c r="J5" s="55"/>
      <c r="K5" s="56"/>
      <c r="L5" s="4">
        <v>0</v>
      </c>
      <c r="M5" s="4"/>
      <c r="N5" s="4"/>
      <c r="O5" s="4">
        <v>0</v>
      </c>
      <c r="P5" s="4">
        <v>0</v>
      </c>
      <c r="Q5" s="4"/>
      <c r="R5" s="29"/>
      <c r="S5" s="4"/>
      <c r="T5" s="32"/>
      <c r="U5" s="54"/>
      <c r="V5" s="32">
        <v>1</v>
      </c>
      <c r="W5" s="29"/>
      <c r="X5" s="4" t="s">
        <v>80</v>
      </c>
      <c r="Y5" s="4">
        <v>3</v>
      </c>
      <c r="Z5" s="29" t="s">
        <v>91</v>
      </c>
      <c r="AA5" s="4"/>
      <c r="AB5" s="4" t="s">
        <v>91</v>
      </c>
      <c r="AC5" s="4" t="s">
        <v>91</v>
      </c>
      <c r="AD5" s="23" t="s">
        <v>97</v>
      </c>
      <c r="AE5" s="23" t="s">
        <v>72</v>
      </c>
      <c r="AF5" s="24" t="s">
        <v>93</v>
      </c>
      <c r="AG5" s="4" t="s">
        <v>98</v>
      </c>
      <c r="AH5" s="4">
        <v>3.68</v>
      </c>
      <c r="AI5" s="4" t="s">
        <v>98</v>
      </c>
      <c r="AJ5" s="4">
        <v>3.75</v>
      </c>
      <c r="AK5" s="4" t="s">
        <v>75</v>
      </c>
      <c r="AL5" s="64">
        <v>2</v>
      </c>
      <c r="AM5" s="61">
        <v>2</v>
      </c>
      <c r="AN5" s="13">
        <v>1.5759486892271752</v>
      </c>
      <c r="AO5" s="13">
        <v>4.9843135739956921</v>
      </c>
      <c r="AP5" s="14">
        <v>1</v>
      </c>
      <c r="AQ5" s="14">
        <v>1</v>
      </c>
      <c r="AR5" s="13">
        <f>Table1[[#This Row],[Share of Domestic Debt (2023)]]-Table1[[#This Row],[Share of Domestic Debt (2005)]]</f>
        <v>3.4083648847685168</v>
      </c>
      <c r="AS5" s="35" t="s">
        <v>99</v>
      </c>
      <c r="AT5" s="4" t="s">
        <v>77</v>
      </c>
      <c r="AU5" s="4">
        <v>0</v>
      </c>
      <c r="AV5" s="4">
        <v>0</v>
      </c>
      <c r="AW5" s="4">
        <v>1.1000000000000001</v>
      </c>
      <c r="AX5" s="4">
        <v>74.5</v>
      </c>
      <c r="AY5" s="4">
        <v>10.1</v>
      </c>
      <c r="AZ5" s="4">
        <v>0</v>
      </c>
      <c r="BA5" s="4">
        <v>14.2</v>
      </c>
      <c r="BB5" s="34">
        <v>3.6549414730362608</v>
      </c>
      <c r="BC5" s="13">
        <v>3.860340703890845</v>
      </c>
      <c r="BD5" s="13">
        <v>4.7982723712914686</v>
      </c>
      <c r="BE5" s="13">
        <v>6.5746781640256273</v>
      </c>
      <c r="BF5" s="14">
        <v>2</v>
      </c>
      <c r="BG5" s="14">
        <v>2</v>
      </c>
      <c r="BH5" s="14">
        <v>2</v>
      </c>
      <c r="BI5" s="14">
        <v>2</v>
      </c>
      <c r="BJ5" s="14" t="s">
        <v>100</v>
      </c>
      <c r="BK5" s="77"/>
      <c r="BL5" s="75"/>
      <c r="BM5" s="4"/>
      <c r="BN5" s="4"/>
      <c r="BO5" s="4"/>
      <c r="BP5" s="4"/>
    </row>
    <row r="6" spans="1:68" ht="16" x14ac:dyDescent="0.45">
      <c r="A6" s="11">
        <v>748</v>
      </c>
      <c r="B6" t="s">
        <v>101</v>
      </c>
      <c r="D6" s="4">
        <v>1</v>
      </c>
      <c r="E6" s="4" t="s">
        <v>89</v>
      </c>
      <c r="F6" s="4" t="s">
        <v>90</v>
      </c>
      <c r="G6" s="4">
        <v>1</v>
      </c>
      <c r="H6" s="4">
        <v>1</v>
      </c>
      <c r="I6" s="4"/>
      <c r="J6" s="55">
        <v>1</v>
      </c>
      <c r="K6" s="56">
        <v>1</v>
      </c>
      <c r="L6" s="4">
        <v>1</v>
      </c>
      <c r="M6" s="4">
        <v>1</v>
      </c>
      <c r="N6" s="4">
        <v>5</v>
      </c>
      <c r="O6" s="4">
        <v>1</v>
      </c>
      <c r="P6" s="4">
        <v>1</v>
      </c>
      <c r="Q6" s="4"/>
      <c r="R6" s="29">
        <v>1</v>
      </c>
      <c r="S6" s="4" t="s">
        <v>102</v>
      </c>
      <c r="T6" s="32"/>
      <c r="U6" s="54">
        <v>1</v>
      </c>
      <c r="V6" s="32"/>
      <c r="W6" s="29"/>
      <c r="X6" s="4">
        <v>1</v>
      </c>
      <c r="Y6" s="4">
        <v>1</v>
      </c>
      <c r="Z6" s="29" t="s">
        <v>91</v>
      </c>
      <c r="AA6" s="4"/>
      <c r="AB6" s="4" t="s">
        <v>91</v>
      </c>
      <c r="AC6" s="4" t="s">
        <v>91</v>
      </c>
      <c r="AD6" s="23" t="s">
        <v>82</v>
      </c>
      <c r="AE6" s="23" t="s">
        <v>72</v>
      </c>
      <c r="AF6" s="24" t="s">
        <v>93</v>
      </c>
      <c r="AG6" s="4" t="s">
        <v>98</v>
      </c>
      <c r="AH6" s="4">
        <v>3.77</v>
      </c>
      <c r="AI6" s="4" t="s">
        <v>84</v>
      </c>
      <c r="AJ6" s="4">
        <v>3.43</v>
      </c>
      <c r="AK6" s="4" t="s">
        <v>103</v>
      </c>
      <c r="AL6" s="64">
        <v>2.6749999999999998</v>
      </c>
      <c r="AM6" s="61">
        <v>0</v>
      </c>
      <c r="AN6" s="13">
        <v>18.494298352647746</v>
      </c>
      <c r="AO6" s="13">
        <v>57.130869282768124</v>
      </c>
      <c r="AP6" s="14">
        <v>2</v>
      </c>
      <c r="AQ6" s="14">
        <v>4</v>
      </c>
      <c r="AR6" s="13">
        <f>Table1[[#This Row],[Share of Domestic Debt (2023)]]-Table1[[#This Row],[Share of Domestic Debt (2005)]]</f>
        <v>38.636570930120378</v>
      </c>
      <c r="AS6" s="35" t="s">
        <v>104</v>
      </c>
      <c r="AT6" s="4" t="s">
        <v>86</v>
      </c>
      <c r="AU6" s="4">
        <v>0</v>
      </c>
      <c r="AV6" s="4">
        <v>2.4</v>
      </c>
      <c r="AW6" s="4">
        <v>0.6</v>
      </c>
      <c r="AX6" s="4">
        <v>9.6</v>
      </c>
      <c r="AY6" s="4">
        <v>47.3</v>
      </c>
      <c r="AZ6" s="4">
        <v>0</v>
      </c>
      <c r="BA6" s="4">
        <v>40.200000000000003</v>
      </c>
      <c r="BB6" s="34">
        <v>6.3160789224226397</v>
      </c>
      <c r="BC6" s="13">
        <v>3.6566385785963038</v>
      </c>
      <c r="BD6" s="13">
        <v>6.413710303568501</v>
      </c>
      <c r="BE6" s="13">
        <v>8.6155789802781015</v>
      </c>
      <c r="BF6" s="14">
        <v>2</v>
      </c>
      <c r="BG6" s="14">
        <v>3</v>
      </c>
      <c r="BH6" s="14">
        <v>3</v>
      </c>
      <c r="BI6" s="14">
        <v>3</v>
      </c>
      <c r="BJ6" s="14" t="s">
        <v>105</v>
      </c>
      <c r="BK6" s="77"/>
      <c r="BL6" s="75"/>
      <c r="BM6" s="4"/>
      <c r="BN6" s="4"/>
      <c r="BO6" s="4"/>
      <c r="BP6" s="4"/>
    </row>
    <row r="7" spans="1:68" ht="16" x14ac:dyDescent="0.45">
      <c r="A7" s="11">
        <v>618</v>
      </c>
      <c r="B7" t="s">
        <v>106</v>
      </c>
      <c r="D7" s="4">
        <v>1</v>
      </c>
      <c r="E7" s="4" t="s">
        <v>89</v>
      </c>
      <c r="F7" s="4" t="s">
        <v>107</v>
      </c>
      <c r="G7" s="4">
        <v>1</v>
      </c>
      <c r="H7" s="4">
        <v>1</v>
      </c>
      <c r="I7" s="4"/>
      <c r="J7" s="55">
        <v>1</v>
      </c>
      <c r="K7" s="56">
        <v>1</v>
      </c>
      <c r="L7" s="4">
        <v>1</v>
      </c>
      <c r="M7" s="4"/>
      <c r="N7" s="4">
        <v>3</v>
      </c>
      <c r="O7" s="4">
        <v>1</v>
      </c>
      <c r="P7" s="4">
        <v>1</v>
      </c>
      <c r="Q7" s="4"/>
      <c r="R7" s="29">
        <v>1</v>
      </c>
      <c r="S7" s="4">
        <v>2009</v>
      </c>
      <c r="T7" s="32"/>
      <c r="U7" s="54">
        <v>1</v>
      </c>
      <c r="V7" s="32"/>
      <c r="W7" s="29"/>
      <c r="X7" s="4">
        <v>1</v>
      </c>
      <c r="Y7" s="4">
        <v>1</v>
      </c>
      <c r="Z7" s="29" t="s">
        <v>70</v>
      </c>
      <c r="AA7" s="4" t="s">
        <v>70</v>
      </c>
      <c r="AB7" s="4" t="s">
        <v>70</v>
      </c>
      <c r="AC7" s="4" t="s">
        <v>70</v>
      </c>
      <c r="AD7" s="23" t="s">
        <v>108</v>
      </c>
      <c r="AE7" s="23" t="s">
        <v>72</v>
      </c>
      <c r="AF7" s="24" t="s">
        <v>73</v>
      </c>
      <c r="AG7" s="4" t="s">
        <v>74</v>
      </c>
      <c r="AH7" s="4">
        <v>3.24</v>
      </c>
      <c r="AI7" s="4" t="s">
        <v>74</v>
      </c>
      <c r="AJ7" s="4">
        <v>3.07</v>
      </c>
      <c r="AK7" s="4" t="s">
        <v>75</v>
      </c>
      <c r="AL7" s="64">
        <v>7</v>
      </c>
      <c r="AM7" s="61">
        <v>0</v>
      </c>
      <c r="AN7" s="13">
        <v>29.097606169550289</v>
      </c>
      <c r="AO7" s="13">
        <v>74.486090398555149</v>
      </c>
      <c r="AP7" s="14">
        <v>3</v>
      </c>
      <c r="AQ7" s="14">
        <v>4</v>
      </c>
      <c r="AR7" s="13">
        <f>Table1[[#This Row],[Share of Domestic Debt (2023)]]-Table1[[#This Row],[Share of Domestic Debt (2005)]]</f>
        <v>45.38848422900486</v>
      </c>
      <c r="AS7" s="35" t="s">
        <v>104</v>
      </c>
      <c r="AT7" s="4" t="s">
        <v>86</v>
      </c>
      <c r="AU7" s="4">
        <v>0</v>
      </c>
      <c r="AV7" s="4">
        <v>5.2</v>
      </c>
      <c r="AW7" s="4">
        <v>0</v>
      </c>
      <c r="AX7" s="4">
        <v>22.4</v>
      </c>
      <c r="AY7" s="4">
        <v>29.8</v>
      </c>
      <c r="AZ7" s="4">
        <v>0</v>
      </c>
      <c r="BA7" s="4">
        <v>42.5</v>
      </c>
      <c r="BB7" s="34">
        <v>32.274336908160876</v>
      </c>
      <c r="BC7" s="13">
        <v>11.72211904571769</v>
      </c>
      <c r="BD7" s="13">
        <v>27.232054981897114</v>
      </c>
      <c r="BE7" s="13">
        <v>12.440850789643079</v>
      </c>
      <c r="BF7" s="14">
        <v>4</v>
      </c>
      <c r="BG7" s="14">
        <v>3</v>
      </c>
      <c r="BH7" s="14">
        <v>4</v>
      </c>
      <c r="BI7" s="14">
        <v>4</v>
      </c>
      <c r="BJ7" s="14" t="s">
        <v>87</v>
      </c>
      <c r="BK7" s="77"/>
      <c r="BL7" s="75"/>
      <c r="BM7" s="4"/>
      <c r="BN7" s="4"/>
      <c r="BO7" s="4"/>
      <c r="BP7" s="4"/>
    </row>
    <row r="8" spans="1:68" ht="16" x14ac:dyDescent="0.45">
      <c r="A8" s="11">
        <v>624</v>
      </c>
      <c r="B8" t="s">
        <v>109</v>
      </c>
      <c r="D8" s="4"/>
      <c r="E8" s="4" t="s">
        <v>89</v>
      </c>
      <c r="F8" s="4"/>
      <c r="G8" s="4"/>
      <c r="H8" s="4"/>
      <c r="I8" s="4">
        <v>1</v>
      </c>
      <c r="J8" s="55">
        <v>1</v>
      </c>
      <c r="K8" s="56">
        <v>1</v>
      </c>
      <c r="L8" s="4">
        <v>1</v>
      </c>
      <c r="M8" s="4">
        <v>1</v>
      </c>
      <c r="N8" s="4">
        <v>1</v>
      </c>
      <c r="O8" s="4">
        <v>0</v>
      </c>
      <c r="P8" s="4">
        <v>0</v>
      </c>
      <c r="Q8" s="4">
        <v>1</v>
      </c>
      <c r="R8" s="29"/>
      <c r="S8" s="4"/>
      <c r="T8" s="32"/>
      <c r="U8" s="54">
        <v>1</v>
      </c>
      <c r="V8" s="32"/>
      <c r="W8" s="29"/>
      <c r="X8" s="4" t="s">
        <v>80</v>
      </c>
      <c r="Y8" s="4">
        <v>4</v>
      </c>
      <c r="Z8" s="29" t="s">
        <v>81</v>
      </c>
      <c r="AA8" s="4"/>
      <c r="AB8" s="4" t="s">
        <v>91</v>
      </c>
      <c r="AC8" s="4" t="s">
        <v>70</v>
      </c>
      <c r="AD8" s="23" t="s">
        <v>110</v>
      </c>
      <c r="AE8" s="23" t="s">
        <v>72</v>
      </c>
      <c r="AF8" s="24" t="s">
        <v>111</v>
      </c>
      <c r="AG8" s="4" t="s">
        <v>98</v>
      </c>
      <c r="AH8" s="4">
        <v>3.92</v>
      </c>
      <c r="AI8" s="4" t="s">
        <v>98</v>
      </c>
      <c r="AJ8" s="4">
        <v>3.88</v>
      </c>
      <c r="AK8" s="4" t="s">
        <v>75</v>
      </c>
      <c r="AL8" s="64">
        <v>24.7</v>
      </c>
      <c r="AM8" s="61">
        <v>1.1000000000000014</v>
      </c>
      <c r="AN8" s="13">
        <v>47.642889118270148</v>
      </c>
      <c r="AO8" s="13">
        <v>34.995070427003924</v>
      </c>
      <c r="AP8" s="14">
        <v>4</v>
      </c>
      <c r="AQ8" s="14">
        <v>2</v>
      </c>
      <c r="AR8" s="13">
        <f>Table1[[#This Row],[Share of Domestic Debt (2023)]]-Table1[[#This Row],[Share of Domestic Debt (2005)]]</f>
        <v>-12.647818691266224</v>
      </c>
      <c r="AS8" s="35" t="s">
        <v>112</v>
      </c>
      <c r="AT8" s="4" t="s">
        <v>86</v>
      </c>
      <c r="AU8" s="4">
        <v>0</v>
      </c>
      <c r="AV8" s="4">
        <v>1.7</v>
      </c>
      <c r="AW8" s="4">
        <v>28.1</v>
      </c>
      <c r="AX8" s="4">
        <v>20.5</v>
      </c>
      <c r="AY8" s="4">
        <v>24.1</v>
      </c>
      <c r="AZ8" s="4">
        <v>0</v>
      </c>
      <c r="BA8" s="4">
        <v>25.6</v>
      </c>
      <c r="BB8" s="34">
        <v>6.0301994988879084</v>
      </c>
      <c r="BC8" s="13">
        <v>7.2454494055641225</v>
      </c>
      <c r="BD8" s="13">
        <v>5.7187078178968527</v>
      </c>
      <c r="BE8" s="13">
        <v>8.2196817270836178</v>
      </c>
      <c r="BF8" s="14">
        <v>3</v>
      </c>
      <c r="BG8" s="14">
        <v>3</v>
      </c>
      <c r="BH8" s="14">
        <v>3</v>
      </c>
      <c r="BI8" s="14">
        <v>2</v>
      </c>
      <c r="BJ8" s="14" t="s">
        <v>113</v>
      </c>
      <c r="BK8" s="77"/>
      <c r="BL8" s="75"/>
      <c r="BM8" s="4"/>
      <c r="BN8" s="4"/>
      <c r="BO8" s="4"/>
      <c r="BP8" s="4"/>
    </row>
    <row r="9" spans="1:68" ht="16" x14ac:dyDescent="0.45">
      <c r="A9" s="11">
        <v>522</v>
      </c>
      <c r="B9" t="s">
        <v>114</v>
      </c>
      <c r="D9" s="4">
        <v>1</v>
      </c>
      <c r="E9" s="4" t="s">
        <v>79</v>
      </c>
      <c r="F9" s="4"/>
      <c r="G9" s="4"/>
      <c r="H9" s="4"/>
      <c r="I9" s="4"/>
      <c r="J9" s="55">
        <v>1</v>
      </c>
      <c r="K9" s="56"/>
      <c r="L9" s="4">
        <v>0</v>
      </c>
      <c r="M9" s="4"/>
      <c r="N9" s="4"/>
      <c r="O9" s="4">
        <v>0</v>
      </c>
      <c r="P9" s="4">
        <v>0</v>
      </c>
      <c r="Q9" s="4"/>
      <c r="R9" s="29"/>
      <c r="S9" s="4"/>
      <c r="T9" s="32"/>
      <c r="U9" s="54"/>
      <c r="V9" s="32">
        <v>1</v>
      </c>
      <c r="W9" s="29"/>
      <c r="X9" s="4" t="s">
        <v>80</v>
      </c>
      <c r="Y9" s="4">
        <v>2</v>
      </c>
      <c r="Z9" s="29" t="s">
        <v>70</v>
      </c>
      <c r="AA9" s="4"/>
      <c r="AB9" s="4" t="s">
        <v>81</v>
      </c>
      <c r="AC9" s="4" t="s">
        <v>81</v>
      </c>
      <c r="AD9" s="23" t="s">
        <v>92</v>
      </c>
      <c r="AE9" s="23" t="s">
        <v>72</v>
      </c>
      <c r="AF9" s="24" t="s">
        <v>115</v>
      </c>
      <c r="AG9" s="4" t="s">
        <v>84</v>
      </c>
      <c r="AH9" s="4">
        <v>3.45</v>
      </c>
      <c r="AI9" s="4" t="s">
        <v>84</v>
      </c>
      <c r="AJ9" s="4">
        <v>3.57</v>
      </c>
      <c r="AK9" s="4" t="s">
        <v>75</v>
      </c>
      <c r="AL9" s="64">
        <v>0</v>
      </c>
      <c r="AM9" s="61">
        <v>6.9666666666666686</v>
      </c>
      <c r="AN9" s="13">
        <v>0</v>
      </c>
      <c r="AO9" s="13">
        <v>0.78798785333536614</v>
      </c>
      <c r="AP9" s="14">
        <v>1</v>
      </c>
      <c r="AQ9" s="14">
        <v>1</v>
      </c>
      <c r="AR9" s="13">
        <f>Table1[[#This Row],[Share of Domestic Debt (2023)]]-Table1[[#This Row],[Share of Domestic Debt (2005)]]</f>
        <v>0.78798785333536614</v>
      </c>
      <c r="AS9" s="35" t="s">
        <v>99</v>
      </c>
      <c r="AT9" s="4" t="s">
        <v>116</v>
      </c>
      <c r="AU9" s="4">
        <v>1</v>
      </c>
      <c r="AV9" s="4">
        <v>44.8</v>
      </c>
      <c r="AW9" s="4">
        <v>0</v>
      </c>
      <c r="AX9" s="4">
        <v>24.5</v>
      </c>
      <c r="AY9" s="4">
        <v>9</v>
      </c>
      <c r="AZ9" s="4">
        <v>0</v>
      </c>
      <c r="BA9" s="4">
        <v>21.7</v>
      </c>
      <c r="BB9" s="34">
        <v>0.3346629192933448</v>
      </c>
      <c r="BC9" s="13">
        <v>1.7950473189638712</v>
      </c>
      <c r="BD9" s="13">
        <v>0.23121531940976275</v>
      </c>
      <c r="BE9" s="13">
        <v>0.96813710317416934</v>
      </c>
      <c r="BF9" s="14">
        <v>1</v>
      </c>
      <c r="BG9" s="14">
        <v>1</v>
      </c>
      <c r="BH9" s="14">
        <v>1</v>
      </c>
      <c r="BI9" s="14">
        <v>1</v>
      </c>
      <c r="BJ9" s="14" t="s">
        <v>99</v>
      </c>
      <c r="BK9" s="77"/>
      <c r="BL9" s="75"/>
      <c r="BM9" s="4">
        <v>1</v>
      </c>
      <c r="BN9" s="4"/>
      <c r="BO9" s="4"/>
      <c r="BP9" s="4"/>
    </row>
    <row r="10" spans="1:68" ht="16" x14ac:dyDescent="0.45">
      <c r="A10" s="11">
        <v>622</v>
      </c>
      <c r="B10" t="s">
        <v>117</v>
      </c>
      <c r="D10" s="4">
        <v>1</v>
      </c>
      <c r="E10" s="4" t="s">
        <v>89</v>
      </c>
      <c r="F10" s="4" t="s">
        <v>118</v>
      </c>
      <c r="G10" s="4"/>
      <c r="H10" s="4">
        <v>1</v>
      </c>
      <c r="I10" s="4"/>
      <c r="J10" s="55">
        <v>1</v>
      </c>
      <c r="K10" s="56">
        <v>1</v>
      </c>
      <c r="L10" s="4">
        <v>1</v>
      </c>
      <c r="M10" s="4">
        <v>1</v>
      </c>
      <c r="N10" s="4">
        <v>3</v>
      </c>
      <c r="O10" s="4">
        <v>1</v>
      </c>
      <c r="P10" s="4">
        <v>1</v>
      </c>
      <c r="Q10" s="4">
        <v>1</v>
      </c>
      <c r="R10" s="29">
        <v>1</v>
      </c>
      <c r="S10" s="4">
        <v>2006</v>
      </c>
      <c r="T10" s="32"/>
      <c r="U10" s="54">
        <v>1</v>
      </c>
      <c r="V10" s="32"/>
      <c r="W10" s="29">
        <v>1</v>
      </c>
      <c r="X10" s="4" t="s">
        <v>80</v>
      </c>
      <c r="Y10" s="4">
        <v>2</v>
      </c>
      <c r="Z10" s="29" t="s">
        <v>81</v>
      </c>
      <c r="AA10" s="4" t="s">
        <v>81</v>
      </c>
      <c r="AB10" s="4" t="s">
        <v>70</v>
      </c>
      <c r="AC10" s="4" t="s">
        <v>70</v>
      </c>
      <c r="AD10" s="23" t="s">
        <v>119</v>
      </c>
      <c r="AE10" s="23" t="s">
        <v>72</v>
      </c>
      <c r="AF10" s="24" t="s">
        <v>111</v>
      </c>
      <c r="AG10" s="4" t="s">
        <v>74</v>
      </c>
      <c r="AH10" s="4">
        <v>3.23</v>
      </c>
      <c r="AI10" s="4" t="s">
        <v>74</v>
      </c>
      <c r="AJ10" s="4">
        <v>3.33</v>
      </c>
      <c r="AK10" s="4" t="s">
        <v>75</v>
      </c>
      <c r="AL10" s="64">
        <v>5.6857142857142851</v>
      </c>
      <c r="AM10" s="61">
        <v>2.9571428571428626</v>
      </c>
      <c r="AN10" s="13">
        <v>20.661874347439422</v>
      </c>
      <c r="AO10" s="13">
        <v>43.908083489662197</v>
      </c>
      <c r="AP10" s="14">
        <v>2</v>
      </c>
      <c r="AQ10" s="14">
        <v>2</v>
      </c>
      <c r="AR10" s="13">
        <f>Table1[[#This Row],[Share of Domestic Debt (2023)]]-Table1[[#This Row],[Share of Domestic Debt (2005)]]</f>
        <v>23.246209142222774</v>
      </c>
      <c r="AS10" s="35" t="s">
        <v>94</v>
      </c>
      <c r="AT10" s="4" t="s">
        <v>86</v>
      </c>
      <c r="AU10" s="4">
        <v>1</v>
      </c>
      <c r="AV10" s="4">
        <v>34.799999999999997</v>
      </c>
      <c r="AW10" s="4">
        <v>12.4</v>
      </c>
      <c r="AX10" s="4">
        <v>17</v>
      </c>
      <c r="AY10" s="4">
        <v>16.600000000000001</v>
      </c>
      <c r="AZ10" s="4">
        <v>0.2</v>
      </c>
      <c r="BA10" s="4">
        <v>18.899999999999999</v>
      </c>
      <c r="BB10" s="34">
        <v>5.7862215933251715</v>
      </c>
      <c r="BC10" s="13">
        <v>8.1197387554656562</v>
      </c>
      <c r="BD10" s="13">
        <v>5.7830794315530163</v>
      </c>
      <c r="BE10" s="13">
        <v>6.2148849438769647</v>
      </c>
      <c r="BF10" s="14">
        <v>3</v>
      </c>
      <c r="BG10" s="14">
        <v>2</v>
      </c>
      <c r="BH10" s="14">
        <v>3</v>
      </c>
      <c r="BI10" s="14">
        <v>3</v>
      </c>
      <c r="BJ10" s="14" t="s">
        <v>113</v>
      </c>
      <c r="BK10" s="77"/>
      <c r="BL10" s="75"/>
      <c r="BM10" s="4"/>
      <c r="BN10" s="4"/>
      <c r="BO10" s="4"/>
      <c r="BP10" s="4"/>
    </row>
    <row r="11" spans="1:68" ht="16" x14ac:dyDescent="0.45">
      <c r="A11" s="11">
        <v>626</v>
      </c>
      <c r="B11" t="s">
        <v>120</v>
      </c>
      <c r="D11" s="4">
        <v>1</v>
      </c>
      <c r="E11" s="4" t="s">
        <v>89</v>
      </c>
      <c r="F11" s="4" t="s">
        <v>118</v>
      </c>
      <c r="G11" s="4">
        <v>1</v>
      </c>
      <c r="H11" s="4">
        <v>1</v>
      </c>
      <c r="I11" s="4"/>
      <c r="J11" s="55">
        <v>1</v>
      </c>
      <c r="K11" s="56">
        <v>1</v>
      </c>
      <c r="L11" s="4">
        <v>1</v>
      </c>
      <c r="M11" s="4">
        <v>1</v>
      </c>
      <c r="N11" s="4">
        <v>5</v>
      </c>
      <c r="O11" s="4">
        <v>1</v>
      </c>
      <c r="P11" s="4">
        <v>1</v>
      </c>
      <c r="Q11" s="4"/>
      <c r="R11" s="29">
        <v>1</v>
      </c>
      <c r="S11" s="4">
        <v>2009</v>
      </c>
      <c r="T11" s="32"/>
      <c r="U11" s="29">
        <v>1</v>
      </c>
      <c r="V11" s="4"/>
      <c r="W11" s="29"/>
      <c r="X11" s="4">
        <v>1</v>
      </c>
      <c r="Y11" s="4">
        <v>1</v>
      </c>
      <c r="Z11" s="29"/>
      <c r="AA11" s="4" t="s">
        <v>91</v>
      </c>
      <c r="AB11" s="4" t="s">
        <v>70</v>
      </c>
      <c r="AC11" s="4" t="s">
        <v>70</v>
      </c>
      <c r="AD11" s="23" t="s">
        <v>82</v>
      </c>
      <c r="AE11" s="23" t="s">
        <v>72</v>
      </c>
      <c r="AF11" s="24" t="s">
        <v>111</v>
      </c>
      <c r="AG11" s="4" t="s">
        <v>74</v>
      </c>
      <c r="AH11" s="4">
        <v>2.71</v>
      </c>
      <c r="AI11" s="4" t="s">
        <v>74</v>
      </c>
      <c r="AJ11" s="4">
        <v>2.59</v>
      </c>
      <c r="AK11" s="4" t="s">
        <v>75</v>
      </c>
      <c r="AL11" s="64">
        <v>5</v>
      </c>
      <c r="AM11" s="61">
        <v>0</v>
      </c>
      <c r="AN11" s="13">
        <v>35.748758121913056</v>
      </c>
      <c r="AO11" s="13">
        <v>70.990408695370888</v>
      </c>
      <c r="AP11" s="14">
        <v>4</v>
      </c>
      <c r="AQ11" s="14">
        <v>4</v>
      </c>
      <c r="AR11" s="13">
        <f>Table1[[#This Row],[Share of Domestic Debt (2023)]]-Table1[[#This Row],[Share of Domestic Debt (2005)]]</f>
        <v>35.241650573457832</v>
      </c>
      <c r="AS11" s="35" t="s">
        <v>104</v>
      </c>
      <c r="AT11" s="4" t="s">
        <v>77</v>
      </c>
      <c r="AU11" s="4">
        <v>1</v>
      </c>
      <c r="AV11" s="4">
        <v>17.8</v>
      </c>
      <c r="AW11" s="4">
        <v>4.3</v>
      </c>
      <c r="AX11" s="4">
        <v>46.6</v>
      </c>
      <c r="AY11" s="4">
        <v>22.6</v>
      </c>
      <c r="AZ11" s="4">
        <v>0</v>
      </c>
      <c r="BA11" s="4">
        <v>8.6999999999999993</v>
      </c>
      <c r="BB11" s="34">
        <v>7.4568581906848692</v>
      </c>
      <c r="BC11" s="13">
        <v>7.6773834084883781</v>
      </c>
      <c r="BD11" s="13">
        <v>6.8857966934688877</v>
      </c>
      <c r="BE11" s="13">
        <v>6.8914243166433256</v>
      </c>
      <c r="BF11" s="14">
        <v>3</v>
      </c>
      <c r="BG11" s="14">
        <v>2</v>
      </c>
      <c r="BH11" s="14">
        <v>3</v>
      </c>
      <c r="BI11" s="14">
        <v>3</v>
      </c>
      <c r="BJ11" s="14" t="s">
        <v>113</v>
      </c>
      <c r="BK11" s="77"/>
      <c r="BL11" s="75"/>
      <c r="BM11" s="4"/>
      <c r="BN11" s="4"/>
      <c r="BO11" s="4"/>
      <c r="BP11" s="4"/>
    </row>
    <row r="12" spans="1:68" ht="16" x14ac:dyDescent="0.45">
      <c r="A12" s="11">
        <v>628</v>
      </c>
      <c r="B12" t="s">
        <v>121</v>
      </c>
      <c r="C12">
        <v>1</v>
      </c>
      <c r="D12" s="4">
        <v>1</v>
      </c>
      <c r="E12" s="4" t="s">
        <v>89</v>
      </c>
      <c r="F12" s="4" t="s">
        <v>118</v>
      </c>
      <c r="G12" s="4">
        <v>1</v>
      </c>
      <c r="H12" s="4">
        <v>1</v>
      </c>
      <c r="I12" s="4"/>
      <c r="J12" s="55">
        <v>1</v>
      </c>
      <c r="K12" s="56">
        <v>1</v>
      </c>
      <c r="L12" s="4">
        <v>1</v>
      </c>
      <c r="M12" s="4"/>
      <c r="N12" s="4">
        <v>4</v>
      </c>
      <c r="O12" s="4">
        <v>1</v>
      </c>
      <c r="P12" s="4">
        <v>1</v>
      </c>
      <c r="Q12" s="4"/>
      <c r="R12" s="29">
        <v>1</v>
      </c>
      <c r="S12" s="4">
        <v>2015</v>
      </c>
      <c r="T12" s="33">
        <v>1</v>
      </c>
      <c r="U12" s="29">
        <v>1</v>
      </c>
      <c r="V12" s="4"/>
      <c r="W12" s="29"/>
      <c r="X12" s="4">
        <v>1</v>
      </c>
      <c r="Y12" s="4">
        <v>1</v>
      </c>
      <c r="Z12" s="29" t="s">
        <v>70</v>
      </c>
      <c r="AA12" s="4" t="s">
        <v>70</v>
      </c>
      <c r="AB12" s="4" t="s">
        <v>70</v>
      </c>
      <c r="AC12" s="4" t="s">
        <v>70</v>
      </c>
      <c r="AD12" s="23" t="s">
        <v>122</v>
      </c>
      <c r="AE12" s="23" t="s">
        <v>123</v>
      </c>
      <c r="AF12" s="24" t="s">
        <v>73</v>
      </c>
      <c r="AG12" s="4" t="s">
        <v>74</v>
      </c>
      <c r="AH12" s="4">
        <v>2.5099999999999998</v>
      </c>
      <c r="AI12" s="4" t="s">
        <v>74</v>
      </c>
      <c r="AJ12" s="4">
        <v>2.7</v>
      </c>
      <c r="AK12" s="4" t="s">
        <v>75</v>
      </c>
      <c r="AL12" s="64">
        <v>7.625</v>
      </c>
      <c r="AM12" s="61">
        <v>0</v>
      </c>
      <c r="AN12" s="13">
        <v>15.758666410573255</v>
      </c>
      <c r="AO12" s="13">
        <v>61.878561577868595</v>
      </c>
      <c r="AP12" s="14">
        <v>2</v>
      </c>
      <c r="AQ12" s="14">
        <v>4</v>
      </c>
      <c r="AR12" s="13">
        <f>Table1[[#This Row],[Share of Domestic Debt (2023)]]-Table1[[#This Row],[Share of Domestic Debt (2005)]]</f>
        <v>46.11989516729534</v>
      </c>
      <c r="AS12" s="35" t="s">
        <v>104</v>
      </c>
      <c r="AT12" s="4" t="s">
        <v>124</v>
      </c>
      <c r="AU12" s="4">
        <v>0</v>
      </c>
      <c r="AV12" s="4">
        <v>9.6999999999999993</v>
      </c>
      <c r="AW12" s="4">
        <v>39.799999999999997</v>
      </c>
      <c r="AX12" s="4">
        <v>23.2</v>
      </c>
      <c r="AY12" s="4">
        <v>8.1</v>
      </c>
      <c r="AZ12" s="4">
        <v>0</v>
      </c>
      <c r="BA12" s="4">
        <v>19.3</v>
      </c>
      <c r="BB12" s="34">
        <v>0.61715062637702811</v>
      </c>
      <c r="BC12" s="13">
        <v>2.5788165987288267</v>
      </c>
      <c r="BD12" s="13">
        <v>3.360864875087028</v>
      </c>
      <c r="BE12" s="13">
        <v>6.4891844833818544</v>
      </c>
      <c r="BF12" s="14">
        <v>1</v>
      </c>
      <c r="BG12" s="14">
        <v>2</v>
      </c>
      <c r="BH12" s="14">
        <v>1</v>
      </c>
      <c r="BI12" s="14">
        <v>1</v>
      </c>
      <c r="BJ12" s="14" t="s">
        <v>99</v>
      </c>
      <c r="BK12" s="77"/>
      <c r="BL12" s="75"/>
      <c r="BM12" s="4"/>
      <c r="BN12" s="4">
        <v>1</v>
      </c>
      <c r="BO12" s="4"/>
      <c r="BP12" s="4"/>
    </row>
    <row r="13" spans="1:68" ht="16" x14ac:dyDescent="0.45">
      <c r="A13" s="11">
        <v>632</v>
      </c>
      <c r="B13" t="s">
        <v>125</v>
      </c>
      <c r="D13" s="4">
        <v>1</v>
      </c>
      <c r="E13" s="4" t="s">
        <v>89</v>
      </c>
      <c r="F13" s="4"/>
      <c r="G13" s="4"/>
      <c r="H13" s="4">
        <v>1</v>
      </c>
      <c r="I13" s="4">
        <v>1</v>
      </c>
      <c r="J13" s="55"/>
      <c r="K13" s="56"/>
      <c r="L13" s="4">
        <v>1</v>
      </c>
      <c r="M13" s="4">
        <v>1</v>
      </c>
      <c r="N13" s="4">
        <v>2</v>
      </c>
      <c r="O13" s="4">
        <v>1</v>
      </c>
      <c r="P13" s="4">
        <v>0</v>
      </c>
      <c r="Q13" s="4"/>
      <c r="R13" s="29">
        <v>1</v>
      </c>
      <c r="S13" s="4">
        <v>2012</v>
      </c>
      <c r="T13" s="32"/>
      <c r="U13" s="29">
        <v>1</v>
      </c>
      <c r="V13" s="4"/>
      <c r="W13" s="29"/>
      <c r="X13" s="4" t="s">
        <v>126</v>
      </c>
      <c r="Y13" s="4">
        <v>2</v>
      </c>
      <c r="Z13" s="29" t="s">
        <v>127</v>
      </c>
      <c r="AA13" s="4" t="s">
        <v>70</v>
      </c>
      <c r="AB13" s="4" t="s">
        <v>128</v>
      </c>
      <c r="AC13" s="4" t="s">
        <v>70</v>
      </c>
      <c r="AD13" s="23" t="s">
        <v>92</v>
      </c>
      <c r="AE13" s="23" t="s">
        <v>72</v>
      </c>
      <c r="AF13" s="24" t="s">
        <v>73</v>
      </c>
      <c r="AG13" s="4" t="s">
        <v>74</v>
      </c>
      <c r="AH13" s="4">
        <v>2.78</v>
      </c>
      <c r="AI13" s="4" t="s">
        <v>84</v>
      </c>
      <c r="AJ13" s="4">
        <v>2.67</v>
      </c>
      <c r="AK13" s="4" t="s">
        <v>129</v>
      </c>
      <c r="AL13" s="64">
        <v>2.4</v>
      </c>
      <c r="AM13" s="61">
        <v>0</v>
      </c>
      <c r="AN13" s="13">
        <v>0</v>
      </c>
      <c r="AO13" s="13">
        <v>28.376021301155404</v>
      </c>
      <c r="AP13" s="14">
        <v>1</v>
      </c>
      <c r="AQ13" s="14">
        <v>1</v>
      </c>
      <c r="AR13" s="13">
        <f>Table1[[#This Row],[Share of Domestic Debt (2023)]]-Table1[[#This Row],[Share of Domestic Debt (2005)]]</f>
        <v>28.376021301155404</v>
      </c>
      <c r="AS13" s="35" t="s">
        <v>94</v>
      </c>
      <c r="AT13" s="4" t="s">
        <v>86</v>
      </c>
      <c r="AU13" s="4">
        <v>1</v>
      </c>
      <c r="AV13" s="4">
        <v>23.2</v>
      </c>
      <c r="AW13" s="4">
        <v>0</v>
      </c>
      <c r="AX13" s="4">
        <v>35.200000000000003</v>
      </c>
      <c r="AY13" s="4">
        <v>9.1999999999999993</v>
      </c>
      <c r="AZ13" s="4">
        <v>8</v>
      </c>
      <c r="BA13" s="4">
        <v>24.4</v>
      </c>
      <c r="BB13" s="34">
        <v>5.4554686889882733</v>
      </c>
      <c r="BC13" s="13">
        <v>3.8724702352323921</v>
      </c>
      <c r="BD13" s="13">
        <v>3.2666737981534322</v>
      </c>
      <c r="BE13" s="13">
        <v>2.2266489600268433</v>
      </c>
      <c r="BF13" s="14">
        <v>2</v>
      </c>
      <c r="BG13" s="14">
        <v>1</v>
      </c>
      <c r="BH13" s="14">
        <v>3</v>
      </c>
      <c r="BI13" s="14">
        <v>1</v>
      </c>
      <c r="BJ13" s="14" t="s">
        <v>130</v>
      </c>
      <c r="BK13" s="77"/>
      <c r="BL13" s="75"/>
      <c r="BM13" s="4"/>
      <c r="BN13" s="4"/>
      <c r="BO13" s="4"/>
      <c r="BP13" s="4"/>
    </row>
    <row r="14" spans="1:68" ht="16" x14ac:dyDescent="0.45">
      <c r="A14" s="11">
        <v>636</v>
      </c>
      <c r="B14" t="s">
        <v>131</v>
      </c>
      <c r="D14" s="4">
        <v>1</v>
      </c>
      <c r="E14" s="4" t="s">
        <v>89</v>
      </c>
      <c r="F14" s="4"/>
      <c r="G14" s="4">
        <v>1</v>
      </c>
      <c r="H14" s="4">
        <v>1</v>
      </c>
      <c r="I14" s="4"/>
      <c r="J14" s="55"/>
      <c r="K14" s="56"/>
      <c r="L14" s="4">
        <v>1</v>
      </c>
      <c r="M14" s="4">
        <v>1</v>
      </c>
      <c r="N14" s="4">
        <v>2</v>
      </c>
      <c r="O14" s="4">
        <v>1</v>
      </c>
      <c r="P14" s="4">
        <v>1</v>
      </c>
      <c r="Q14" s="4">
        <v>1</v>
      </c>
      <c r="R14" s="29">
        <v>1</v>
      </c>
      <c r="S14" s="4">
        <v>2010</v>
      </c>
      <c r="T14" s="32"/>
      <c r="U14" s="29">
        <v>1</v>
      </c>
      <c r="V14" s="4"/>
      <c r="W14" s="29"/>
      <c r="X14" s="4">
        <v>1</v>
      </c>
      <c r="Y14" s="4">
        <v>1</v>
      </c>
      <c r="Z14" s="29"/>
      <c r="AA14" s="4" t="s">
        <v>70</v>
      </c>
      <c r="AB14" s="4" t="s">
        <v>91</v>
      </c>
      <c r="AC14" s="4" t="s">
        <v>91</v>
      </c>
      <c r="AD14" s="23" t="s">
        <v>132</v>
      </c>
      <c r="AE14" s="23" t="s">
        <v>72</v>
      </c>
      <c r="AF14" s="24" t="s">
        <v>115</v>
      </c>
      <c r="AG14" s="4" t="s">
        <v>74</v>
      </c>
      <c r="AH14" s="4">
        <v>2.71</v>
      </c>
      <c r="AI14" s="4" t="s">
        <v>74</v>
      </c>
      <c r="AJ14" s="4">
        <v>3.18</v>
      </c>
      <c r="AK14" s="4" t="s">
        <v>75</v>
      </c>
      <c r="AL14" s="64">
        <v>0.5</v>
      </c>
      <c r="AM14" s="61">
        <v>0</v>
      </c>
      <c r="AN14" s="13">
        <v>29.57220638470784</v>
      </c>
      <c r="AO14" s="13">
        <v>26.061691346255941</v>
      </c>
      <c r="AP14" s="14">
        <v>3</v>
      </c>
      <c r="AQ14" s="14">
        <v>1</v>
      </c>
      <c r="AR14" s="13">
        <f>Table1[[#This Row],[Share of Domestic Debt (2023)]]-Table1[[#This Row],[Share of Domestic Debt (2005)]]</f>
        <v>-3.5105150384518993</v>
      </c>
      <c r="AS14" s="35" t="s">
        <v>112</v>
      </c>
      <c r="AT14" s="4" t="s">
        <v>116</v>
      </c>
      <c r="AU14" s="4">
        <v>1</v>
      </c>
      <c r="AV14" s="4">
        <v>47.6</v>
      </c>
      <c r="AW14" s="4">
        <v>0.9</v>
      </c>
      <c r="AX14" s="4">
        <v>7.5</v>
      </c>
      <c r="AY14" s="4">
        <v>27</v>
      </c>
      <c r="AZ14" s="4">
        <v>0</v>
      </c>
      <c r="BA14" s="4">
        <v>16.899999999999999</v>
      </c>
      <c r="BB14" s="34">
        <v>1.8199559797302356</v>
      </c>
      <c r="BC14" s="13">
        <v>4.7431595361732697</v>
      </c>
      <c r="BD14" s="13">
        <v>0.74087866940474389</v>
      </c>
      <c r="BE14" s="13">
        <v>2.2878899403437685</v>
      </c>
      <c r="BF14" s="14">
        <v>2</v>
      </c>
      <c r="BG14" s="14">
        <v>1</v>
      </c>
      <c r="BH14" s="14">
        <v>1</v>
      </c>
      <c r="BI14" s="14">
        <v>1</v>
      </c>
      <c r="BJ14" s="14" t="s">
        <v>99</v>
      </c>
      <c r="BK14" s="77"/>
      <c r="BL14" s="75"/>
      <c r="BM14" s="4"/>
      <c r="BN14" s="4"/>
      <c r="BO14" s="4"/>
      <c r="BP14" s="4"/>
    </row>
    <row r="15" spans="1:68" ht="16" x14ac:dyDescent="0.45">
      <c r="A15" s="11">
        <v>634</v>
      </c>
      <c r="B15" t="s">
        <v>133</v>
      </c>
      <c r="D15" s="4">
        <v>1</v>
      </c>
      <c r="E15" s="4" t="s">
        <v>89</v>
      </c>
      <c r="F15" s="4" t="s">
        <v>118</v>
      </c>
      <c r="G15" s="4">
        <v>1</v>
      </c>
      <c r="H15" s="4">
        <v>1</v>
      </c>
      <c r="I15" s="4"/>
      <c r="J15" s="55">
        <v>1</v>
      </c>
      <c r="K15" s="56">
        <v>1</v>
      </c>
      <c r="L15" s="4">
        <v>1</v>
      </c>
      <c r="M15" s="4"/>
      <c r="N15" s="4">
        <v>3</v>
      </c>
      <c r="O15" s="4">
        <v>1</v>
      </c>
      <c r="P15" s="4">
        <v>1</v>
      </c>
      <c r="Q15" s="4"/>
      <c r="R15" s="29">
        <v>1</v>
      </c>
      <c r="S15" s="4">
        <v>2010</v>
      </c>
      <c r="T15" s="32">
        <v>1</v>
      </c>
      <c r="U15" s="29">
        <v>1</v>
      </c>
      <c r="V15" s="4"/>
      <c r="W15" s="29">
        <v>1</v>
      </c>
      <c r="X15" s="4" t="s">
        <v>126</v>
      </c>
      <c r="Y15" s="4">
        <v>3</v>
      </c>
      <c r="Z15" s="29" t="s">
        <v>70</v>
      </c>
      <c r="AA15" s="4" t="s">
        <v>91</v>
      </c>
      <c r="AB15" s="4" t="s">
        <v>127</v>
      </c>
      <c r="AC15" s="4" t="s">
        <v>127</v>
      </c>
      <c r="AD15" s="23" t="s">
        <v>132</v>
      </c>
      <c r="AE15" s="23" t="s">
        <v>123</v>
      </c>
      <c r="AF15" s="24" t="s">
        <v>111</v>
      </c>
      <c r="AG15" s="4" t="s">
        <v>74</v>
      </c>
      <c r="AH15" s="4">
        <v>3</v>
      </c>
      <c r="AI15" s="4" t="s">
        <v>74</v>
      </c>
      <c r="AJ15" s="4">
        <v>2.87</v>
      </c>
      <c r="AK15" s="4" t="s">
        <v>75</v>
      </c>
      <c r="AL15" s="64">
        <v>7.4142857142857137</v>
      </c>
      <c r="AM15" s="61">
        <v>1.7142857142857153</v>
      </c>
      <c r="AN15" s="13">
        <v>13.523788026875408</v>
      </c>
      <c r="AO15" s="13">
        <v>51.381903494602447</v>
      </c>
      <c r="AP15" s="14">
        <v>1</v>
      </c>
      <c r="AQ15" s="14">
        <v>3</v>
      </c>
      <c r="AR15" s="13">
        <f>Table1[[#This Row],[Share of Domestic Debt (2023)]]-Table1[[#This Row],[Share of Domestic Debt (2005)]]</f>
        <v>37.858115467727039</v>
      </c>
      <c r="AS15" s="35" t="s">
        <v>104</v>
      </c>
      <c r="AT15" s="4" t="s">
        <v>116</v>
      </c>
      <c r="AU15" s="4">
        <v>1</v>
      </c>
      <c r="AV15" s="4">
        <v>47</v>
      </c>
      <c r="AW15" s="4">
        <v>31.9</v>
      </c>
      <c r="AX15" s="4">
        <v>11.2</v>
      </c>
      <c r="AY15" s="4">
        <v>4</v>
      </c>
      <c r="AZ15" s="4">
        <v>1.6</v>
      </c>
      <c r="BA15" s="4">
        <v>4.3</v>
      </c>
      <c r="BB15" s="34">
        <v>6.0078790063056351</v>
      </c>
      <c r="BC15" s="13">
        <v>12.683631693024003</v>
      </c>
      <c r="BD15" s="13">
        <v>5.6630916127041697</v>
      </c>
      <c r="BE15" s="13">
        <v>12.022497863460327</v>
      </c>
      <c r="BF15" s="14">
        <v>4</v>
      </c>
      <c r="BG15" s="14">
        <v>3</v>
      </c>
      <c r="BH15" s="14">
        <v>3</v>
      </c>
      <c r="BI15" s="14">
        <v>2</v>
      </c>
      <c r="BJ15" s="14" t="s">
        <v>130</v>
      </c>
      <c r="BK15" s="77"/>
      <c r="BL15" s="75"/>
      <c r="BM15" s="4"/>
      <c r="BN15" s="4">
        <v>1</v>
      </c>
      <c r="BO15" s="4"/>
      <c r="BP15" s="4"/>
    </row>
    <row r="16" spans="1:68" ht="16" x14ac:dyDescent="0.45">
      <c r="A16" s="11">
        <v>662</v>
      </c>
      <c r="B16" t="s">
        <v>134</v>
      </c>
      <c r="D16" s="4">
        <v>1</v>
      </c>
      <c r="E16" s="4" t="s">
        <v>89</v>
      </c>
      <c r="F16" s="4" t="s">
        <v>90</v>
      </c>
      <c r="G16" s="4"/>
      <c r="H16" s="4"/>
      <c r="I16" s="4"/>
      <c r="J16" s="55">
        <v>1</v>
      </c>
      <c r="K16" s="56">
        <v>1</v>
      </c>
      <c r="L16" s="4">
        <v>1</v>
      </c>
      <c r="M16" s="4">
        <v>1</v>
      </c>
      <c r="N16" s="4">
        <v>4</v>
      </c>
      <c r="O16" s="4">
        <v>1</v>
      </c>
      <c r="P16" s="4">
        <v>1</v>
      </c>
      <c r="Q16" s="4">
        <v>1</v>
      </c>
      <c r="R16" s="29">
        <v>1</v>
      </c>
      <c r="S16" s="4">
        <v>2012</v>
      </c>
      <c r="T16" s="32">
        <v>0</v>
      </c>
      <c r="U16" s="29">
        <v>1</v>
      </c>
      <c r="V16" s="4"/>
      <c r="W16" s="29">
        <v>1</v>
      </c>
      <c r="X16" s="4" t="s">
        <v>80</v>
      </c>
      <c r="Y16" s="4">
        <v>3</v>
      </c>
      <c r="Z16" s="29" t="s">
        <v>127</v>
      </c>
      <c r="AA16" s="4" t="s">
        <v>91</v>
      </c>
      <c r="AB16" s="4" t="s">
        <v>91</v>
      </c>
      <c r="AC16" s="4" t="s">
        <v>91</v>
      </c>
      <c r="AD16" s="23" t="s">
        <v>92</v>
      </c>
      <c r="AE16" s="23" t="s">
        <v>72</v>
      </c>
      <c r="AF16" s="24" t="s">
        <v>93</v>
      </c>
      <c r="AG16" s="4" t="s">
        <v>74</v>
      </c>
      <c r="AH16" s="4">
        <v>3.07</v>
      </c>
      <c r="AI16" s="4" t="s">
        <v>84</v>
      </c>
      <c r="AJ16" s="4">
        <v>3.81</v>
      </c>
      <c r="AK16" s="4" t="s">
        <v>129</v>
      </c>
      <c r="AL16" s="64">
        <v>2.3571428571428572</v>
      </c>
      <c r="AM16" s="61">
        <v>1.8400000000000105</v>
      </c>
      <c r="AN16" s="13">
        <v>23.449360075564002</v>
      </c>
      <c r="AO16" s="13">
        <v>36.835638504575776</v>
      </c>
      <c r="AP16" s="14">
        <v>3</v>
      </c>
      <c r="AQ16" s="14">
        <v>2</v>
      </c>
      <c r="AR16" s="13">
        <f>Table1[[#This Row],[Share of Domestic Debt (2023)]]-Table1[[#This Row],[Share of Domestic Debt (2005)]]</f>
        <v>13.386278429011774</v>
      </c>
      <c r="AS16" s="35" t="s">
        <v>85</v>
      </c>
      <c r="AT16" s="4" t="s">
        <v>124</v>
      </c>
      <c r="AU16" s="4">
        <v>1</v>
      </c>
      <c r="AV16" s="4">
        <v>13.9</v>
      </c>
      <c r="AW16" s="4">
        <v>54</v>
      </c>
      <c r="AX16" s="4">
        <v>15.2</v>
      </c>
      <c r="AY16" s="4">
        <v>8.3000000000000007</v>
      </c>
      <c r="AZ16" s="4">
        <v>0.6</v>
      </c>
      <c r="BA16" s="4">
        <v>8.1</v>
      </c>
      <c r="BB16" s="34">
        <v>3.948092481897711</v>
      </c>
      <c r="BC16" s="13">
        <v>11.334610472541506</v>
      </c>
      <c r="BD16" s="13">
        <v>9.3444757698804306</v>
      </c>
      <c r="BE16" s="13">
        <v>14.435895334074411</v>
      </c>
      <c r="BF16" s="14">
        <v>4</v>
      </c>
      <c r="BG16" s="14">
        <v>3</v>
      </c>
      <c r="BH16" s="14">
        <v>2</v>
      </c>
      <c r="BI16" s="14">
        <v>3</v>
      </c>
      <c r="BJ16" s="14" t="s">
        <v>95</v>
      </c>
      <c r="BK16" s="77"/>
      <c r="BL16" s="75"/>
      <c r="BM16" s="4">
        <v>1</v>
      </c>
      <c r="BN16" s="4">
        <v>1</v>
      </c>
      <c r="BO16" s="4"/>
      <c r="BP16" s="4"/>
    </row>
    <row r="17" spans="1:68" ht="16" x14ac:dyDescent="0.45">
      <c r="A17" s="11">
        <v>611</v>
      </c>
      <c r="B17" t="s">
        <v>135</v>
      </c>
      <c r="D17" s="4">
        <v>1</v>
      </c>
      <c r="E17" s="4" t="s">
        <v>69</v>
      </c>
      <c r="F17" s="4"/>
      <c r="G17" s="4"/>
      <c r="H17" s="4"/>
      <c r="I17" s="4">
        <v>1</v>
      </c>
      <c r="J17" s="55"/>
      <c r="K17" s="56"/>
      <c r="L17" s="4">
        <v>1</v>
      </c>
      <c r="M17" s="4"/>
      <c r="N17" s="4">
        <v>1</v>
      </c>
      <c r="O17" s="4">
        <v>0</v>
      </c>
      <c r="P17" s="4">
        <v>0</v>
      </c>
      <c r="Q17" s="4"/>
      <c r="R17" s="29"/>
      <c r="S17" s="4"/>
      <c r="T17" s="32"/>
      <c r="U17" s="29">
        <v>1</v>
      </c>
      <c r="V17" s="4"/>
      <c r="W17" s="29"/>
      <c r="X17" s="4" t="s">
        <v>126</v>
      </c>
      <c r="Y17" s="4">
        <v>3</v>
      </c>
      <c r="Z17" s="29" t="s">
        <v>70</v>
      </c>
      <c r="AA17" s="4"/>
      <c r="AB17" s="4" t="s">
        <v>127</v>
      </c>
      <c r="AC17" s="4" t="s">
        <v>127</v>
      </c>
      <c r="AD17" s="23" t="s">
        <v>136</v>
      </c>
      <c r="AE17" s="23" t="s">
        <v>123</v>
      </c>
      <c r="AF17" s="24" t="s">
        <v>111</v>
      </c>
      <c r="AG17" s="4" t="s">
        <v>74</v>
      </c>
      <c r="AH17" s="4">
        <v>3.09</v>
      </c>
      <c r="AI17" s="4" t="s">
        <v>74</v>
      </c>
      <c r="AJ17" s="4">
        <v>3.13</v>
      </c>
      <c r="AK17" s="4" t="s">
        <v>75</v>
      </c>
      <c r="AL17" s="64">
        <v>1</v>
      </c>
      <c r="AM17" s="61">
        <v>7.7149999999999999</v>
      </c>
      <c r="AN17" s="13" t="s">
        <v>76</v>
      </c>
      <c r="AO17" s="13">
        <v>0</v>
      </c>
      <c r="AP17" s="14" t="s">
        <v>76</v>
      </c>
      <c r="AQ17" s="14">
        <v>1</v>
      </c>
      <c r="AR17" s="13" t="s">
        <v>76</v>
      </c>
      <c r="AS17" s="35" t="s">
        <v>76</v>
      </c>
      <c r="AT17" s="4" t="s">
        <v>116</v>
      </c>
      <c r="AU17" s="4">
        <v>1</v>
      </c>
      <c r="AV17" s="4">
        <v>51.5</v>
      </c>
      <c r="AW17" s="4">
        <v>0.1</v>
      </c>
      <c r="AX17" s="4">
        <v>16.3</v>
      </c>
      <c r="AY17" s="4">
        <v>9.4</v>
      </c>
      <c r="AZ17" s="4">
        <v>0.5</v>
      </c>
      <c r="BA17" s="4">
        <v>22.2</v>
      </c>
      <c r="BB17" s="34">
        <v>0.16113329118531827</v>
      </c>
      <c r="BC17" s="13">
        <v>1.2257889746715429</v>
      </c>
      <c r="BD17" s="13">
        <v>1.0375672872426693</v>
      </c>
      <c r="BE17" s="13">
        <v>8.1766757029339399</v>
      </c>
      <c r="BF17" s="14">
        <v>1</v>
      </c>
      <c r="BG17" s="14">
        <v>3</v>
      </c>
      <c r="BH17" s="14">
        <v>1</v>
      </c>
      <c r="BI17" s="14">
        <v>1</v>
      </c>
      <c r="BJ17" s="14" t="s">
        <v>105</v>
      </c>
      <c r="BK17" s="77"/>
      <c r="BL17" s="75"/>
      <c r="BM17" s="4"/>
      <c r="BN17" s="4"/>
      <c r="BO17" s="4"/>
      <c r="BP17" s="4"/>
    </row>
    <row r="18" spans="1:68" ht="16" x14ac:dyDescent="0.45">
      <c r="A18" s="11">
        <v>321</v>
      </c>
      <c r="B18" t="s">
        <v>137</v>
      </c>
      <c r="D18" s="4"/>
      <c r="E18" s="4" t="s">
        <v>138</v>
      </c>
      <c r="F18" s="4" t="s">
        <v>139</v>
      </c>
      <c r="G18" s="4"/>
      <c r="H18" s="4"/>
      <c r="I18" s="4">
        <v>1</v>
      </c>
      <c r="J18" s="55">
        <v>1</v>
      </c>
      <c r="K18" s="56">
        <v>1</v>
      </c>
      <c r="L18" s="4">
        <v>0</v>
      </c>
      <c r="M18" s="4"/>
      <c r="N18" s="4"/>
      <c r="O18" s="4">
        <v>0</v>
      </c>
      <c r="P18" s="4">
        <v>0</v>
      </c>
      <c r="Q18" s="4"/>
      <c r="R18" s="29"/>
      <c r="S18" s="4"/>
      <c r="T18" s="32"/>
      <c r="U18" s="29">
        <v>1</v>
      </c>
      <c r="V18" s="4"/>
      <c r="W18" s="29"/>
      <c r="X18" s="4" t="s">
        <v>126</v>
      </c>
      <c r="Y18" s="4">
        <v>4</v>
      </c>
      <c r="Z18" s="29" t="s">
        <v>91</v>
      </c>
      <c r="AA18" s="4"/>
      <c r="AB18" s="4" t="s">
        <v>70</v>
      </c>
      <c r="AC18" s="4" t="s">
        <v>70</v>
      </c>
      <c r="AD18" s="23" t="s">
        <v>140</v>
      </c>
      <c r="AE18" s="23" t="s">
        <v>72</v>
      </c>
      <c r="AF18" s="24" t="s">
        <v>111</v>
      </c>
      <c r="AG18" s="4" t="s">
        <v>98</v>
      </c>
      <c r="AH18" s="4">
        <v>3.77</v>
      </c>
      <c r="AI18" s="4" t="s">
        <v>84</v>
      </c>
      <c r="AJ18" s="4">
        <v>3.65</v>
      </c>
      <c r="AK18" s="4" t="s">
        <v>103</v>
      </c>
      <c r="AL18" s="64">
        <v>2</v>
      </c>
      <c r="AM18" s="61">
        <v>0</v>
      </c>
      <c r="AN18" s="13">
        <v>22.019935920887477</v>
      </c>
      <c r="AO18" s="13">
        <v>44.395374063710335</v>
      </c>
      <c r="AP18" s="14">
        <v>2</v>
      </c>
      <c r="AQ18" s="14">
        <v>2</v>
      </c>
      <c r="AR18" s="13">
        <f>Table1[[#This Row],[Share of Domestic Debt (2023)]]-Table1[[#This Row],[Share of Domestic Debt (2005)]]</f>
        <v>22.375438142822858</v>
      </c>
      <c r="AS18" s="35" t="s">
        <v>94</v>
      </c>
      <c r="AT18" s="4" t="s">
        <v>86</v>
      </c>
      <c r="AU18" s="4">
        <v>1</v>
      </c>
      <c r="AV18" s="4">
        <v>11.5</v>
      </c>
      <c r="AW18" s="4">
        <v>17.5</v>
      </c>
      <c r="AX18" s="4">
        <v>15.8</v>
      </c>
      <c r="AY18" s="4">
        <v>19.3</v>
      </c>
      <c r="AZ18" s="4">
        <v>0</v>
      </c>
      <c r="BA18" s="4">
        <v>35.9</v>
      </c>
      <c r="BB18" s="34">
        <v>12.654500950822303</v>
      </c>
      <c r="BC18" s="13">
        <v>13.222484207742719</v>
      </c>
      <c r="BD18" s="13">
        <v>9.0028820996818339</v>
      </c>
      <c r="BE18" s="13">
        <v>4.9369385881912908</v>
      </c>
      <c r="BF18" s="14">
        <v>4</v>
      </c>
      <c r="BG18" s="14">
        <v>2</v>
      </c>
      <c r="BH18" s="14">
        <v>4</v>
      </c>
      <c r="BI18" s="14">
        <v>3</v>
      </c>
      <c r="BJ18" s="14" t="s">
        <v>130</v>
      </c>
      <c r="BK18" s="77"/>
      <c r="BL18" s="75"/>
      <c r="BM18" s="4"/>
      <c r="BN18" s="4"/>
      <c r="BO18" s="4"/>
      <c r="BP18" s="4"/>
    </row>
    <row r="19" spans="1:68" ht="16" x14ac:dyDescent="0.45">
      <c r="A19" s="11">
        <v>643</v>
      </c>
      <c r="B19" t="s">
        <v>141</v>
      </c>
      <c r="D19" s="4">
        <v>1</v>
      </c>
      <c r="E19" s="4" t="s">
        <v>89</v>
      </c>
      <c r="F19" s="4"/>
      <c r="G19" s="4">
        <v>1</v>
      </c>
      <c r="H19" s="4">
        <v>1</v>
      </c>
      <c r="I19" s="4"/>
      <c r="J19" s="55"/>
      <c r="K19" s="56"/>
      <c r="L19" s="4">
        <v>0</v>
      </c>
      <c r="M19" s="4"/>
      <c r="N19" s="4"/>
      <c r="O19" s="4">
        <v>0</v>
      </c>
      <c r="P19" s="4">
        <v>0</v>
      </c>
      <c r="Q19" s="4"/>
      <c r="R19" s="29">
        <v>2</v>
      </c>
      <c r="S19" s="4" t="s">
        <v>76</v>
      </c>
      <c r="T19" s="32"/>
      <c r="U19" s="29">
        <v>0</v>
      </c>
      <c r="V19" s="4">
        <v>0</v>
      </c>
      <c r="W19" s="29"/>
      <c r="X19" s="4">
        <v>1</v>
      </c>
      <c r="Y19" s="4">
        <v>1</v>
      </c>
      <c r="Z19" s="29" t="s">
        <v>142</v>
      </c>
      <c r="AA19" s="4"/>
      <c r="AB19" s="4" t="s">
        <v>142</v>
      </c>
      <c r="AC19" s="4" t="s">
        <v>142</v>
      </c>
      <c r="AD19" s="23" t="s">
        <v>142</v>
      </c>
      <c r="AE19" s="23" t="s">
        <v>76</v>
      </c>
      <c r="AF19" s="24" t="s">
        <v>76</v>
      </c>
      <c r="AG19" s="4" t="s">
        <v>142</v>
      </c>
      <c r="AH19" s="4">
        <v>2.08</v>
      </c>
      <c r="AI19" s="4" t="s">
        <v>76</v>
      </c>
      <c r="AJ19" s="4">
        <v>1.69</v>
      </c>
      <c r="AK19" s="4" t="s">
        <v>76</v>
      </c>
      <c r="AL19" s="62" t="s">
        <v>76</v>
      </c>
      <c r="AM19" s="61" t="s">
        <v>76</v>
      </c>
      <c r="AN19" s="13">
        <v>58.567850439632082</v>
      </c>
      <c r="AO19" s="13" t="s">
        <v>76</v>
      </c>
      <c r="AP19" s="14">
        <v>4</v>
      </c>
      <c r="AQ19" s="14" t="s">
        <v>76</v>
      </c>
      <c r="AR19" s="13" t="s">
        <v>76</v>
      </c>
      <c r="AS19" s="35" t="s">
        <v>76</v>
      </c>
      <c r="AT19" s="4" t="s">
        <v>86</v>
      </c>
      <c r="AU19" s="4">
        <v>0</v>
      </c>
      <c r="AV19" s="4">
        <v>4</v>
      </c>
      <c r="AW19" s="4">
        <v>0</v>
      </c>
      <c r="AX19" s="4">
        <v>17.399999999999999</v>
      </c>
      <c r="AY19" s="4">
        <v>60.1</v>
      </c>
      <c r="AZ19" s="4">
        <v>0</v>
      </c>
      <c r="BA19" s="4">
        <v>18.399999999999999</v>
      </c>
      <c r="BB19" s="34">
        <v>50.736392525990148</v>
      </c>
      <c r="BC19" s="13">
        <v>8.8646737464958072</v>
      </c>
      <c r="BD19" s="13" t="s">
        <v>76</v>
      </c>
      <c r="BE19" s="13" t="s">
        <v>76</v>
      </c>
      <c r="BF19" s="14">
        <v>3</v>
      </c>
      <c r="BG19" s="14" t="s">
        <v>76</v>
      </c>
      <c r="BH19" s="14">
        <v>4</v>
      </c>
      <c r="BI19" s="14" t="s">
        <v>76</v>
      </c>
      <c r="BJ19" s="14" t="s">
        <v>76</v>
      </c>
      <c r="BK19" s="77"/>
      <c r="BL19" s="75"/>
      <c r="BM19" s="4"/>
      <c r="BN19" s="4"/>
      <c r="BO19" s="4"/>
      <c r="BP19" s="4"/>
    </row>
    <row r="20" spans="1:68" ht="16" x14ac:dyDescent="0.45">
      <c r="A20" s="11">
        <v>644</v>
      </c>
      <c r="B20" t="s">
        <v>143</v>
      </c>
      <c r="D20" s="4">
        <v>1</v>
      </c>
      <c r="E20" s="4" t="s">
        <v>89</v>
      </c>
      <c r="F20" s="4"/>
      <c r="G20" s="4"/>
      <c r="H20" s="4">
        <v>1</v>
      </c>
      <c r="I20" s="4"/>
      <c r="J20" s="55"/>
      <c r="K20" s="56"/>
      <c r="L20" s="4">
        <v>1</v>
      </c>
      <c r="M20" s="4">
        <v>1</v>
      </c>
      <c r="N20" s="4">
        <v>2</v>
      </c>
      <c r="O20" s="4">
        <v>1</v>
      </c>
      <c r="P20" s="4">
        <v>1</v>
      </c>
      <c r="Q20" s="4"/>
      <c r="R20" s="29">
        <v>1</v>
      </c>
      <c r="S20" s="4">
        <v>2004</v>
      </c>
      <c r="T20" s="33">
        <v>1</v>
      </c>
      <c r="U20" s="29">
        <v>1</v>
      </c>
      <c r="V20" s="4"/>
      <c r="W20" s="29">
        <v>1</v>
      </c>
      <c r="X20" s="4">
        <v>1</v>
      </c>
      <c r="Y20" s="4">
        <v>1</v>
      </c>
      <c r="Z20" s="29" t="s">
        <v>81</v>
      </c>
      <c r="AA20" s="4"/>
      <c r="AB20" s="4" t="s">
        <v>127</v>
      </c>
      <c r="AC20" s="4" t="s">
        <v>127</v>
      </c>
      <c r="AD20" s="23" t="s">
        <v>132</v>
      </c>
      <c r="AE20" s="23" t="s">
        <v>123</v>
      </c>
      <c r="AF20" s="24" t="s">
        <v>111</v>
      </c>
      <c r="AG20" s="4" t="s">
        <v>84</v>
      </c>
      <c r="AH20" s="4">
        <v>3.44</v>
      </c>
      <c r="AI20" s="4" t="s">
        <v>74</v>
      </c>
      <c r="AJ20" s="4">
        <v>3.15</v>
      </c>
      <c r="AK20" s="4" t="s">
        <v>103</v>
      </c>
      <c r="AL20" s="64">
        <v>2.6666666666666665</v>
      </c>
      <c r="AM20" s="61">
        <v>0</v>
      </c>
      <c r="AN20" s="13">
        <v>39.414107506735583</v>
      </c>
      <c r="AO20" s="13">
        <v>47.113550443694997</v>
      </c>
      <c r="AP20" s="14">
        <v>4</v>
      </c>
      <c r="AQ20" s="14">
        <v>3</v>
      </c>
      <c r="AR20" s="13">
        <f>Table1[[#This Row],[Share of Domestic Debt (2023)]]-Table1[[#This Row],[Share of Domestic Debt (2005)]]</f>
        <v>7.6994429369594144</v>
      </c>
      <c r="AS20" s="35" t="s">
        <v>85</v>
      </c>
      <c r="AT20" s="4" t="s">
        <v>86</v>
      </c>
      <c r="AU20" s="4">
        <v>1</v>
      </c>
      <c r="AV20" s="4">
        <v>29.5</v>
      </c>
      <c r="AW20" s="4">
        <v>16.399999999999999</v>
      </c>
      <c r="AX20" s="4">
        <v>12.4</v>
      </c>
      <c r="AY20" s="4">
        <v>31.4</v>
      </c>
      <c r="AZ20" s="4">
        <v>0</v>
      </c>
      <c r="BA20" s="4">
        <v>10.199999999999999</v>
      </c>
      <c r="BB20" s="34">
        <v>6.299981245928354</v>
      </c>
      <c r="BC20" s="13">
        <v>5.0190610695386644</v>
      </c>
      <c r="BD20" s="13">
        <v>7.4629417042542014</v>
      </c>
      <c r="BE20" s="13">
        <v>7.6004252100983489</v>
      </c>
      <c r="BF20" s="14">
        <v>2</v>
      </c>
      <c r="BG20" s="14">
        <v>2</v>
      </c>
      <c r="BH20" s="14">
        <v>3</v>
      </c>
      <c r="BI20" s="14">
        <v>3</v>
      </c>
      <c r="BJ20" s="14" t="s">
        <v>100</v>
      </c>
      <c r="BK20" s="77" t="s">
        <v>144</v>
      </c>
      <c r="BL20" s="75"/>
      <c r="BM20" s="4">
        <v>1</v>
      </c>
      <c r="BN20" s="4"/>
      <c r="BO20" s="4"/>
      <c r="BP20" s="4"/>
    </row>
    <row r="21" spans="1:68" ht="16" x14ac:dyDescent="0.45">
      <c r="A21" s="11">
        <v>648</v>
      </c>
      <c r="B21" t="s">
        <v>145</v>
      </c>
      <c r="D21" s="4">
        <v>1</v>
      </c>
      <c r="E21" s="4" t="s">
        <v>89</v>
      </c>
      <c r="F21" s="4"/>
      <c r="G21" s="4"/>
      <c r="H21" s="4"/>
      <c r="I21" s="4"/>
      <c r="J21" s="55"/>
      <c r="K21" s="56"/>
      <c r="L21" s="4">
        <v>1</v>
      </c>
      <c r="M21" s="4">
        <v>1</v>
      </c>
      <c r="N21" s="4">
        <v>4</v>
      </c>
      <c r="O21" s="4">
        <v>1</v>
      </c>
      <c r="P21" s="4">
        <v>1</v>
      </c>
      <c r="Q21" s="4"/>
      <c r="R21" s="29">
        <v>1</v>
      </c>
      <c r="S21" s="4">
        <v>2007</v>
      </c>
      <c r="T21" s="32">
        <v>1</v>
      </c>
      <c r="U21" s="29">
        <v>1</v>
      </c>
      <c r="V21" s="4"/>
      <c r="W21" s="29"/>
      <c r="X21" s="4">
        <v>1</v>
      </c>
      <c r="Y21" s="4">
        <v>1</v>
      </c>
      <c r="Z21" s="29" t="s">
        <v>127</v>
      </c>
      <c r="AA21" s="4" t="s">
        <v>70</v>
      </c>
      <c r="AB21" s="4" t="s">
        <v>70</v>
      </c>
      <c r="AC21" s="4" t="s">
        <v>70</v>
      </c>
      <c r="AD21" s="23" t="s">
        <v>92</v>
      </c>
      <c r="AE21" s="23" t="s">
        <v>123</v>
      </c>
      <c r="AF21" s="24" t="s">
        <v>73</v>
      </c>
      <c r="AG21" s="4" t="s">
        <v>74</v>
      </c>
      <c r="AH21" s="4">
        <v>3.35</v>
      </c>
      <c r="AI21" s="4" t="s">
        <v>84</v>
      </c>
      <c r="AJ21" s="4">
        <v>3.13</v>
      </c>
      <c r="AK21" s="4" t="s">
        <v>129</v>
      </c>
      <c r="AL21" s="64">
        <v>2.157142857142857</v>
      </c>
      <c r="AM21" s="61">
        <v>0</v>
      </c>
      <c r="AN21" s="13">
        <v>29.104850643871814</v>
      </c>
      <c r="AO21" s="13">
        <v>43.140445161272254</v>
      </c>
      <c r="AP21" s="14">
        <v>3</v>
      </c>
      <c r="AQ21" s="14">
        <v>2</v>
      </c>
      <c r="AR21" s="13">
        <f>Table1[[#This Row],[Share of Domestic Debt (2023)]]-Table1[[#This Row],[Share of Domestic Debt (2005)]]</f>
        <v>14.03559451740044</v>
      </c>
      <c r="AS21" s="35" t="s">
        <v>85</v>
      </c>
      <c r="AT21" s="4" t="s">
        <v>86</v>
      </c>
      <c r="AU21" s="4">
        <v>0</v>
      </c>
      <c r="AV21" s="4">
        <v>1.5</v>
      </c>
      <c r="AW21" s="4">
        <v>4.9000000000000004</v>
      </c>
      <c r="AX21" s="4">
        <v>28.5</v>
      </c>
      <c r="AY21" s="4">
        <v>14.2</v>
      </c>
      <c r="AZ21" s="4">
        <v>0</v>
      </c>
      <c r="BA21" s="4">
        <v>50.9</v>
      </c>
      <c r="BB21" s="34">
        <v>19.347516895028104</v>
      </c>
      <c r="BC21" s="13">
        <v>40.05226312875488</v>
      </c>
      <c r="BD21" s="13">
        <v>18.145686797944382</v>
      </c>
      <c r="BE21" s="13">
        <v>14.638146146407511</v>
      </c>
      <c r="BF21" s="14">
        <v>4</v>
      </c>
      <c r="BG21" s="14">
        <v>4</v>
      </c>
      <c r="BH21" s="14">
        <v>4</v>
      </c>
      <c r="BI21" s="14">
        <v>4</v>
      </c>
      <c r="BJ21" s="14" t="s">
        <v>87</v>
      </c>
      <c r="BK21" s="77"/>
      <c r="BL21" s="75"/>
      <c r="BM21" s="4"/>
      <c r="BN21" s="4">
        <v>1</v>
      </c>
      <c r="BO21" s="4"/>
      <c r="BP21" s="4"/>
    </row>
    <row r="22" spans="1:68" ht="16" x14ac:dyDescent="0.45">
      <c r="A22" s="11">
        <v>652</v>
      </c>
      <c r="B22" t="s">
        <v>146</v>
      </c>
      <c r="D22" s="4">
        <v>1</v>
      </c>
      <c r="E22" s="4" t="s">
        <v>89</v>
      </c>
      <c r="F22" s="4"/>
      <c r="G22" s="4">
        <v>1</v>
      </c>
      <c r="H22" s="4"/>
      <c r="I22" s="4"/>
      <c r="J22" s="55"/>
      <c r="K22" s="56"/>
      <c r="L22" s="4">
        <v>1</v>
      </c>
      <c r="M22" s="4">
        <v>1</v>
      </c>
      <c r="N22" s="4">
        <v>3</v>
      </c>
      <c r="O22" s="4">
        <v>1</v>
      </c>
      <c r="P22" s="4">
        <v>1</v>
      </c>
      <c r="Q22" s="4"/>
      <c r="R22" s="29">
        <v>1</v>
      </c>
      <c r="S22" s="4">
        <v>2004</v>
      </c>
      <c r="T22" s="33">
        <v>1</v>
      </c>
      <c r="U22" s="29"/>
      <c r="V22" s="4">
        <v>1</v>
      </c>
      <c r="W22" s="29">
        <v>1</v>
      </c>
      <c r="X22" s="4" t="s">
        <v>126</v>
      </c>
      <c r="Y22" s="4">
        <v>3</v>
      </c>
      <c r="Z22" s="29" t="s">
        <v>91</v>
      </c>
      <c r="AA22" s="4"/>
      <c r="AB22" s="4" t="s">
        <v>70</v>
      </c>
      <c r="AC22" s="4" t="s">
        <v>70</v>
      </c>
      <c r="AD22" s="23" t="s">
        <v>147</v>
      </c>
      <c r="AE22" s="23" t="s">
        <v>123</v>
      </c>
      <c r="AF22" s="24" t="s">
        <v>111</v>
      </c>
      <c r="AG22" s="4" t="s">
        <v>98</v>
      </c>
      <c r="AH22" s="4">
        <v>3.8</v>
      </c>
      <c r="AI22" s="4" t="s">
        <v>84</v>
      </c>
      <c r="AJ22" s="4">
        <v>3.41</v>
      </c>
      <c r="AK22" s="4" t="s">
        <v>103</v>
      </c>
      <c r="AL22" s="64">
        <v>2</v>
      </c>
      <c r="AM22" s="61">
        <v>1.5200000000000031</v>
      </c>
      <c r="AN22" s="13">
        <v>27.196518373564089</v>
      </c>
      <c r="AO22" s="13">
        <v>51.453544519797049</v>
      </c>
      <c r="AP22" s="14">
        <v>3</v>
      </c>
      <c r="AQ22" s="14">
        <v>3</v>
      </c>
      <c r="AR22" s="13">
        <f>Table1[[#This Row],[Share of Domestic Debt (2023)]]-Table1[[#This Row],[Share of Domestic Debt (2005)]]</f>
        <v>24.25702614623296</v>
      </c>
      <c r="AS22" s="35" t="s">
        <v>94</v>
      </c>
      <c r="AT22" s="4" t="s">
        <v>124</v>
      </c>
      <c r="AU22" s="4">
        <v>1</v>
      </c>
      <c r="AV22" s="4">
        <v>11.1</v>
      </c>
      <c r="AW22" s="4">
        <v>50.5</v>
      </c>
      <c r="AX22" s="4">
        <v>9.4</v>
      </c>
      <c r="AY22" s="4">
        <v>20.7</v>
      </c>
      <c r="AZ22" s="4">
        <v>0.5</v>
      </c>
      <c r="BA22" s="4">
        <v>7.7</v>
      </c>
      <c r="BB22" s="34">
        <v>9.994659201792782</v>
      </c>
      <c r="BC22" s="13">
        <v>13.448004148598097</v>
      </c>
      <c r="BD22" s="13">
        <v>15.926850089118272</v>
      </c>
      <c r="BE22" s="13">
        <v>30.869003137197414</v>
      </c>
      <c r="BF22" s="14">
        <v>4</v>
      </c>
      <c r="BG22" s="14">
        <v>4</v>
      </c>
      <c r="BH22" s="14">
        <v>4</v>
      </c>
      <c r="BI22" s="14">
        <v>4</v>
      </c>
      <c r="BJ22" s="14" t="s">
        <v>87</v>
      </c>
      <c r="BK22" s="77" t="s">
        <v>144</v>
      </c>
      <c r="BL22" s="75"/>
      <c r="BM22" s="4">
        <v>1</v>
      </c>
      <c r="BN22" s="4"/>
      <c r="BO22" s="4"/>
      <c r="BP22" s="4"/>
    </row>
    <row r="23" spans="1:68" ht="16" x14ac:dyDescent="0.45">
      <c r="A23" s="11">
        <v>328</v>
      </c>
      <c r="B23" t="s">
        <v>148</v>
      </c>
      <c r="D23" s="4"/>
      <c r="E23" s="4" t="s">
        <v>138</v>
      </c>
      <c r="F23" s="4" t="s">
        <v>139</v>
      </c>
      <c r="G23" s="4"/>
      <c r="H23" s="4"/>
      <c r="I23" s="4">
        <v>1</v>
      </c>
      <c r="J23" s="55">
        <v>1</v>
      </c>
      <c r="K23" s="56">
        <v>1</v>
      </c>
      <c r="L23" s="4">
        <v>1</v>
      </c>
      <c r="M23" s="4"/>
      <c r="N23" s="4">
        <v>3</v>
      </c>
      <c r="O23" s="4">
        <v>1</v>
      </c>
      <c r="P23" s="4">
        <v>1</v>
      </c>
      <c r="Q23" s="4"/>
      <c r="R23" s="29"/>
      <c r="S23" s="4"/>
      <c r="T23" s="32">
        <v>1</v>
      </c>
      <c r="U23" s="29">
        <v>1</v>
      </c>
      <c r="V23" s="4"/>
      <c r="W23" s="29"/>
      <c r="X23" s="4" t="s">
        <v>126</v>
      </c>
      <c r="Y23" s="4">
        <v>4</v>
      </c>
      <c r="Z23" s="29"/>
      <c r="AA23" s="4"/>
      <c r="AB23" s="4" t="s">
        <v>127</v>
      </c>
      <c r="AC23" s="4" t="s">
        <v>127</v>
      </c>
      <c r="AD23" s="23" t="s">
        <v>108</v>
      </c>
      <c r="AE23" s="23" t="s">
        <v>123</v>
      </c>
      <c r="AF23" s="24" t="s">
        <v>111</v>
      </c>
      <c r="AG23" s="4" t="s">
        <v>84</v>
      </c>
      <c r="AH23" s="4">
        <v>3.65</v>
      </c>
      <c r="AI23" s="4" t="s">
        <v>84</v>
      </c>
      <c r="AJ23" s="4">
        <v>3.73</v>
      </c>
      <c r="AK23" s="4" t="s">
        <v>75</v>
      </c>
      <c r="AL23" s="64">
        <v>12.64</v>
      </c>
      <c r="AM23" s="61">
        <v>0.60000000000000142</v>
      </c>
      <c r="AN23" s="13">
        <v>43.147637748526016</v>
      </c>
      <c r="AO23" s="13">
        <v>39.200247940311598</v>
      </c>
      <c r="AP23" s="14">
        <v>4</v>
      </c>
      <c r="AQ23" s="14">
        <v>2</v>
      </c>
      <c r="AR23" s="13">
        <f>Table1[[#This Row],[Share of Domestic Debt (2023)]]-Table1[[#This Row],[Share of Domestic Debt (2005)]]</f>
        <v>-3.9473898082144174</v>
      </c>
      <c r="AS23" s="35" t="s">
        <v>112</v>
      </c>
      <c r="AT23" s="4" t="s">
        <v>86</v>
      </c>
      <c r="AU23" s="4">
        <v>0</v>
      </c>
      <c r="AV23" s="4">
        <v>1.7</v>
      </c>
      <c r="AW23" s="4">
        <v>27.6</v>
      </c>
      <c r="AX23" s="4">
        <v>16.2</v>
      </c>
      <c r="AY23" s="4">
        <v>26.3</v>
      </c>
      <c r="AZ23" s="4">
        <v>0</v>
      </c>
      <c r="BA23" s="4">
        <v>28.2</v>
      </c>
      <c r="BB23" s="34" t="s">
        <v>76</v>
      </c>
      <c r="BC23" s="13">
        <v>5.7906705751303251</v>
      </c>
      <c r="BD23" s="13">
        <v>5.5071349262204121</v>
      </c>
      <c r="BE23" s="13">
        <v>8.4868001094942809</v>
      </c>
      <c r="BF23" s="14">
        <v>2</v>
      </c>
      <c r="BG23" s="14">
        <v>3</v>
      </c>
      <c r="BH23" s="14" t="s">
        <v>76</v>
      </c>
      <c r="BI23" s="14">
        <v>2</v>
      </c>
      <c r="BJ23" s="14" t="s">
        <v>95</v>
      </c>
      <c r="BK23" s="77"/>
      <c r="BL23" s="75"/>
      <c r="BM23" s="4"/>
      <c r="BN23" s="4">
        <v>1</v>
      </c>
      <c r="BO23" s="4"/>
      <c r="BP23" s="4"/>
    </row>
    <row r="24" spans="1:68" ht="16" x14ac:dyDescent="0.45">
      <c r="A24" s="11">
        <v>656</v>
      </c>
      <c r="B24" t="s">
        <v>149</v>
      </c>
      <c r="D24" s="4">
        <v>1</v>
      </c>
      <c r="E24" s="4" t="s">
        <v>89</v>
      </c>
      <c r="F24" s="4"/>
      <c r="G24" s="4">
        <v>1</v>
      </c>
      <c r="H24" s="4"/>
      <c r="I24" s="4"/>
      <c r="J24" s="55"/>
      <c r="K24" s="56"/>
      <c r="L24" s="4">
        <v>1</v>
      </c>
      <c r="M24" s="4"/>
      <c r="N24" s="4">
        <v>3</v>
      </c>
      <c r="O24" s="4">
        <v>1</v>
      </c>
      <c r="P24" s="4">
        <v>1</v>
      </c>
      <c r="Q24" s="4"/>
      <c r="R24" s="29">
        <v>1</v>
      </c>
      <c r="S24" s="4">
        <v>2012</v>
      </c>
      <c r="T24" s="32"/>
      <c r="U24" s="29">
        <v>1</v>
      </c>
      <c r="V24" s="4"/>
      <c r="W24" s="29"/>
      <c r="X24" s="4">
        <v>1</v>
      </c>
      <c r="Y24" s="4">
        <v>2</v>
      </c>
      <c r="Z24" s="29" t="s">
        <v>127</v>
      </c>
      <c r="AA24" s="4" t="s">
        <v>91</v>
      </c>
      <c r="AB24" s="4" t="s">
        <v>91</v>
      </c>
      <c r="AC24" s="4" t="s">
        <v>91</v>
      </c>
      <c r="AD24" s="23" t="s">
        <v>140</v>
      </c>
      <c r="AE24" s="23" t="s">
        <v>72</v>
      </c>
      <c r="AF24" s="24" t="s">
        <v>93</v>
      </c>
      <c r="AG24" s="4" t="s">
        <v>74</v>
      </c>
      <c r="AH24" s="4">
        <v>2.97</v>
      </c>
      <c r="AI24" s="4" t="s">
        <v>74</v>
      </c>
      <c r="AJ24" s="4">
        <v>3.39</v>
      </c>
      <c r="AK24" s="4" t="s">
        <v>75</v>
      </c>
      <c r="AL24" s="64">
        <v>1.7142857142857144</v>
      </c>
      <c r="AM24" s="61">
        <v>1.1271428571428572</v>
      </c>
      <c r="AN24" s="13">
        <v>21.29340334173186</v>
      </c>
      <c r="AO24" s="13">
        <v>58.061770970867393</v>
      </c>
      <c r="AP24" s="14">
        <v>2</v>
      </c>
      <c r="AQ24" s="14">
        <v>4</v>
      </c>
      <c r="AR24" s="13">
        <f>Table1[[#This Row],[Share of Domestic Debt (2023)]]-Table1[[#This Row],[Share of Domestic Debt (2005)]]</f>
        <v>36.768367629135533</v>
      </c>
      <c r="AS24" s="35" t="s">
        <v>104</v>
      </c>
      <c r="AT24" s="4" t="s">
        <v>86</v>
      </c>
      <c r="AU24" s="4">
        <v>1</v>
      </c>
      <c r="AV24" s="4">
        <v>37.200000000000003</v>
      </c>
      <c r="AW24" s="4">
        <v>1.1000000000000001</v>
      </c>
      <c r="AX24" s="4">
        <v>22.9</v>
      </c>
      <c r="AY24" s="4">
        <v>15.3</v>
      </c>
      <c r="AZ24" s="4">
        <v>0</v>
      </c>
      <c r="BA24" s="4">
        <v>23.5</v>
      </c>
      <c r="BB24" s="34">
        <v>8.9196398292214223</v>
      </c>
      <c r="BC24" s="13">
        <v>20.175669794725003</v>
      </c>
      <c r="BD24" s="13">
        <v>3.0649839536813031</v>
      </c>
      <c r="BE24" s="13">
        <v>7.9014009393503626</v>
      </c>
      <c r="BF24" s="14">
        <v>4</v>
      </c>
      <c r="BG24" s="14">
        <v>3</v>
      </c>
      <c r="BH24" s="14">
        <v>4</v>
      </c>
      <c r="BI24" s="14">
        <v>1</v>
      </c>
      <c r="BJ24" s="14" t="s">
        <v>130</v>
      </c>
      <c r="BK24" s="77"/>
      <c r="BL24" s="75"/>
      <c r="BM24" s="4"/>
      <c r="BN24" s="4"/>
      <c r="BO24" s="4"/>
      <c r="BP24" s="4"/>
    </row>
    <row r="25" spans="1:68" ht="16" x14ac:dyDescent="0.45">
      <c r="A25" s="11">
        <v>654</v>
      </c>
      <c r="B25" t="s">
        <v>150</v>
      </c>
      <c r="D25" s="4">
        <v>1</v>
      </c>
      <c r="E25" s="4" t="s">
        <v>89</v>
      </c>
      <c r="F25" s="4" t="s">
        <v>90</v>
      </c>
      <c r="G25" s="4">
        <v>1</v>
      </c>
      <c r="H25" s="4">
        <v>1</v>
      </c>
      <c r="I25" s="4"/>
      <c r="J25" s="55">
        <v>1</v>
      </c>
      <c r="K25" s="56">
        <v>1</v>
      </c>
      <c r="L25" s="4">
        <v>1</v>
      </c>
      <c r="M25" s="4">
        <v>1</v>
      </c>
      <c r="N25" s="4">
        <v>3</v>
      </c>
      <c r="O25" s="4">
        <v>1</v>
      </c>
      <c r="P25" s="4">
        <v>1</v>
      </c>
      <c r="Q25" s="4"/>
      <c r="R25" s="29">
        <v>1</v>
      </c>
      <c r="S25" s="4">
        <v>2010</v>
      </c>
      <c r="T25" s="32"/>
      <c r="U25" s="29">
        <v>1</v>
      </c>
      <c r="V25" s="4"/>
      <c r="W25" s="29"/>
      <c r="X25" s="4">
        <v>1</v>
      </c>
      <c r="Y25" s="4">
        <v>1</v>
      </c>
      <c r="Z25" s="29" t="s">
        <v>127</v>
      </c>
      <c r="AA25" s="4" t="s">
        <v>91</v>
      </c>
      <c r="AB25" s="4" t="s">
        <v>70</v>
      </c>
      <c r="AC25" s="4" t="s">
        <v>70</v>
      </c>
      <c r="AD25" s="23" t="s">
        <v>92</v>
      </c>
      <c r="AE25" s="23" t="s">
        <v>72</v>
      </c>
      <c r="AF25" s="24" t="s">
        <v>111</v>
      </c>
      <c r="AG25" s="4" t="s">
        <v>74</v>
      </c>
      <c r="AH25" s="4">
        <v>2.62</v>
      </c>
      <c r="AI25" s="4" t="s">
        <v>74</v>
      </c>
      <c r="AJ25" s="4">
        <v>2.57</v>
      </c>
      <c r="AK25" s="4" t="s">
        <v>75</v>
      </c>
      <c r="AL25" s="64">
        <v>6.1749999999999998</v>
      </c>
      <c r="AM25" s="61">
        <v>0</v>
      </c>
      <c r="AN25" s="13">
        <v>28.178617228505516</v>
      </c>
      <c r="AO25" s="13">
        <v>36.534982138484004</v>
      </c>
      <c r="AP25" s="14">
        <v>3</v>
      </c>
      <c r="AQ25" s="14">
        <v>2</v>
      </c>
      <c r="AR25" s="13">
        <f>Table1[[#This Row],[Share of Domestic Debt (2023)]]-Table1[[#This Row],[Share of Domestic Debt (2005)]]</f>
        <v>8.3563649099784882</v>
      </c>
      <c r="AS25" s="35" t="s">
        <v>85</v>
      </c>
      <c r="AT25" s="4" t="s">
        <v>86</v>
      </c>
      <c r="AU25" s="4">
        <v>0</v>
      </c>
      <c r="AV25" s="4">
        <v>0</v>
      </c>
      <c r="AW25" s="4">
        <v>22.8</v>
      </c>
      <c r="AX25" s="4">
        <v>23.2</v>
      </c>
      <c r="AY25" s="4">
        <v>19.600000000000001</v>
      </c>
      <c r="AZ25" s="4">
        <v>0</v>
      </c>
      <c r="BA25" s="4">
        <v>34.299999999999997</v>
      </c>
      <c r="BB25" s="34">
        <v>12.806677183144622</v>
      </c>
      <c r="BC25" s="13">
        <v>12.535043190750056</v>
      </c>
      <c r="BD25" s="13">
        <v>20.149005169430943</v>
      </c>
      <c r="BE25" s="13">
        <v>16.617939269694386</v>
      </c>
      <c r="BF25" s="14">
        <v>4</v>
      </c>
      <c r="BG25" s="14">
        <v>4</v>
      </c>
      <c r="BH25" s="14">
        <v>4</v>
      </c>
      <c r="BI25" s="14">
        <v>4</v>
      </c>
      <c r="BJ25" s="14" t="s">
        <v>87</v>
      </c>
      <c r="BK25" s="77"/>
      <c r="BL25" s="75"/>
      <c r="BM25" s="4"/>
      <c r="BN25" s="4"/>
      <c r="BO25" s="4"/>
      <c r="BP25" s="4"/>
    </row>
    <row r="26" spans="1:68" ht="16" x14ac:dyDescent="0.45">
      <c r="A26" s="11">
        <v>263</v>
      </c>
      <c r="B26" t="s">
        <v>151</v>
      </c>
      <c r="D26" s="4">
        <v>1</v>
      </c>
      <c r="E26" s="4" t="s">
        <v>138</v>
      </c>
      <c r="F26" s="4"/>
      <c r="G26" s="4"/>
      <c r="H26" s="4">
        <v>1</v>
      </c>
      <c r="I26" s="4"/>
      <c r="J26" s="55"/>
      <c r="K26" s="56"/>
      <c r="L26" s="4">
        <v>1</v>
      </c>
      <c r="M26" s="4"/>
      <c r="N26" s="4">
        <v>3</v>
      </c>
      <c r="O26" s="4">
        <v>1</v>
      </c>
      <c r="P26" s="4">
        <v>1</v>
      </c>
      <c r="Q26" s="4"/>
      <c r="R26" s="29">
        <v>1</v>
      </c>
      <c r="S26" s="4">
        <v>2009</v>
      </c>
      <c r="T26" s="32"/>
      <c r="U26" s="29"/>
      <c r="V26" s="4">
        <v>1</v>
      </c>
      <c r="W26" s="29"/>
      <c r="X26" s="4">
        <v>1</v>
      </c>
      <c r="Y26" s="4">
        <v>2</v>
      </c>
      <c r="Z26" s="29" t="s">
        <v>70</v>
      </c>
      <c r="AA26" s="4" t="s">
        <v>70</v>
      </c>
      <c r="AB26" s="4" t="s">
        <v>70</v>
      </c>
      <c r="AC26" s="4" t="s">
        <v>70</v>
      </c>
      <c r="AD26" s="23" t="s">
        <v>147</v>
      </c>
      <c r="AE26" s="23" t="s">
        <v>72</v>
      </c>
      <c r="AF26" s="24" t="s">
        <v>73</v>
      </c>
      <c r="AG26" s="4" t="s">
        <v>74</v>
      </c>
      <c r="AH26" s="4">
        <v>2.9</v>
      </c>
      <c r="AI26" s="4" t="s">
        <v>84</v>
      </c>
      <c r="AJ26" s="4">
        <v>2.2200000000000002</v>
      </c>
      <c r="AK26" s="4" t="s">
        <v>129</v>
      </c>
      <c r="AL26" s="64">
        <v>1.5</v>
      </c>
      <c r="AM26" s="61">
        <v>0</v>
      </c>
      <c r="AN26" s="13">
        <v>33.892600335338742</v>
      </c>
      <c r="AO26" s="13">
        <v>64.953194430086199</v>
      </c>
      <c r="AP26" s="14">
        <v>3</v>
      </c>
      <c r="AQ26" s="14">
        <v>4</v>
      </c>
      <c r="AR26" s="13">
        <f>Table1[[#This Row],[Share of Domestic Debt (2023)]]-Table1[[#This Row],[Share of Domestic Debt (2005)]]</f>
        <v>31.060594094747458</v>
      </c>
      <c r="AS26" s="35" t="s">
        <v>104</v>
      </c>
      <c r="AT26" s="4" t="s">
        <v>77</v>
      </c>
      <c r="AU26" s="4">
        <v>0</v>
      </c>
      <c r="AV26" s="4">
        <v>0</v>
      </c>
      <c r="AW26" s="4">
        <v>2.2000000000000002</v>
      </c>
      <c r="AX26" s="4">
        <v>93.4</v>
      </c>
      <c r="AY26" s="4">
        <v>0</v>
      </c>
      <c r="AZ26" s="4">
        <v>0</v>
      </c>
      <c r="BA26" s="4">
        <v>4.4000000000000004</v>
      </c>
      <c r="BB26" s="34">
        <v>7.1887360180282638</v>
      </c>
      <c r="BC26" s="13">
        <v>7.633572767324952</v>
      </c>
      <c r="BD26" s="13">
        <v>6.400202704246567</v>
      </c>
      <c r="BE26" s="13">
        <v>1.8697475539274466</v>
      </c>
      <c r="BF26" s="14">
        <v>3</v>
      </c>
      <c r="BG26" s="14">
        <v>1</v>
      </c>
      <c r="BH26" s="14">
        <v>3</v>
      </c>
      <c r="BI26" s="14">
        <v>3</v>
      </c>
      <c r="BJ26" s="14" t="s">
        <v>130</v>
      </c>
      <c r="BK26" s="77"/>
      <c r="BL26" s="75"/>
      <c r="BM26" s="4"/>
      <c r="BN26" s="4"/>
      <c r="BO26" s="4"/>
      <c r="BP26" s="4"/>
    </row>
    <row r="27" spans="1:68" ht="16" x14ac:dyDescent="0.45">
      <c r="A27" s="11">
        <v>268</v>
      </c>
      <c r="B27" t="s">
        <v>152</v>
      </c>
      <c r="D27" s="4">
        <v>1</v>
      </c>
      <c r="E27" s="4" t="s">
        <v>138</v>
      </c>
      <c r="F27" s="4"/>
      <c r="G27" s="4"/>
      <c r="H27" s="4"/>
      <c r="I27" s="4"/>
      <c r="J27" s="55"/>
      <c r="K27" s="56"/>
      <c r="L27" s="4">
        <v>1</v>
      </c>
      <c r="M27" s="4">
        <v>1</v>
      </c>
      <c r="N27" s="4">
        <v>2</v>
      </c>
      <c r="O27" s="4">
        <v>1</v>
      </c>
      <c r="P27" s="4">
        <v>1</v>
      </c>
      <c r="Q27" s="4"/>
      <c r="R27" s="29">
        <v>1</v>
      </c>
      <c r="S27" s="4">
        <v>2005</v>
      </c>
      <c r="T27" s="32"/>
      <c r="U27" s="29"/>
      <c r="V27" s="4">
        <v>1</v>
      </c>
      <c r="W27" s="29">
        <v>1</v>
      </c>
      <c r="X27" s="4" t="s">
        <v>80</v>
      </c>
      <c r="Y27" s="4">
        <v>3</v>
      </c>
      <c r="Z27" s="29" t="s">
        <v>91</v>
      </c>
      <c r="AA27" s="4"/>
      <c r="AB27" s="4" t="s">
        <v>81</v>
      </c>
      <c r="AC27" s="4" t="s">
        <v>91</v>
      </c>
      <c r="AD27" s="23" t="s">
        <v>92</v>
      </c>
      <c r="AE27" s="23" t="s">
        <v>72</v>
      </c>
      <c r="AF27" s="24" t="s">
        <v>115</v>
      </c>
      <c r="AG27" s="4" t="s">
        <v>84</v>
      </c>
      <c r="AH27" s="4">
        <v>3.49</v>
      </c>
      <c r="AI27" s="4" t="s">
        <v>98</v>
      </c>
      <c r="AJ27" s="4">
        <v>3.28</v>
      </c>
      <c r="AK27" s="4" t="s">
        <v>129</v>
      </c>
      <c r="AL27" s="64">
        <v>2</v>
      </c>
      <c r="AM27" s="67">
        <v>3.9499999999999993</v>
      </c>
      <c r="AN27" s="13">
        <v>22.812404876129278</v>
      </c>
      <c r="AO27" s="13">
        <v>42.583079957452611</v>
      </c>
      <c r="AP27" s="14">
        <v>3</v>
      </c>
      <c r="AQ27" s="14">
        <v>2</v>
      </c>
      <c r="AR27" s="13">
        <f>Table1[[#This Row],[Share of Domestic Debt (2023)]]-Table1[[#This Row],[Share of Domestic Debt (2005)]]</f>
        <v>19.770675081323333</v>
      </c>
      <c r="AS27" s="35" t="s">
        <v>94</v>
      </c>
      <c r="AT27" s="4" t="s">
        <v>86</v>
      </c>
      <c r="AU27" s="4">
        <v>0</v>
      </c>
      <c r="AV27" s="4">
        <v>4.7</v>
      </c>
      <c r="AW27" s="4">
        <v>22.1</v>
      </c>
      <c r="AX27" s="4">
        <v>10.1</v>
      </c>
      <c r="AY27" s="4">
        <v>13.2</v>
      </c>
      <c r="AZ27" s="4">
        <v>0</v>
      </c>
      <c r="BA27" s="4">
        <v>50</v>
      </c>
      <c r="BB27" s="34">
        <v>3.0895747142898733</v>
      </c>
      <c r="BC27" s="13">
        <v>4.9751383887798877</v>
      </c>
      <c r="BD27" s="13">
        <v>8.8583616780745515</v>
      </c>
      <c r="BE27" s="13">
        <v>8.9584866624842974</v>
      </c>
      <c r="BF27" s="14">
        <v>2</v>
      </c>
      <c r="BG27" s="14">
        <v>3</v>
      </c>
      <c r="BH27" s="14">
        <v>2</v>
      </c>
      <c r="BI27" s="14">
        <v>3</v>
      </c>
      <c r="BJ27" s="14" t="s">
        <v>95</v>
      </c>
      <c r="BK27" s="77"/>
      <c r="BL27" s="75"/>
      <c r="BM27" s="4"/>
      <c r="BN27" s="4"/>
      <c r="BO27" s="4"/>
      <c r="BP27" s="4"/>
    </row>
    <row r="28" spans="1:68" ht="16" x14ac:dyDescent="0.45">
      <c r="A28" s="11">
        <v>664</v>
      </c>
      <c r="B28" t="s">
        <v>153</v>
      </c>
      <c r="D28" s="4">
        <v>1</v>
      </c>
      <c r="E28" s="4" t="s">
        <v>89</v>
      </c>
      <c r="F28" s="4" t="s">
        <v>107</v>
      </c>
      <c r="G28" s="4"/>
      <c r="H28" s="4"/>
      <c r="I28" s="4"/>
      <c r="J28" s="55">
        <v>1</v>
      </c>
      <c r="K28" s="56">
        <v>1</v>
      </c>
      <c r="L28" s="4">
        <v>1</v>
      </c>
      <c r="M28" s="4">
        <v>1</v>
      </c>
      <c r="N28" s="4">
        <v>2</v>
      </c>
      <c r="O28" s="4">
        <v>1</v>
      </c>
      <c r="P28" s="4">
        <v>1</v>
      </c>
      <c r="Q28" s="4">
        <v>1</v>
      </c>
      <c r="R28" s="29"/>
      <c r="S28" s="4"/>
      <c r="T28" s="32"/>
      <c r="U28" s="29">
        <v>1</v>
      </c>
      <c r="V28" s="4"/>
      <c r="W28" s="29">
        <v>1</v>
      </c>
      <c r="X28" s="4" t="s">
        <v>80</v>
      </c>
      <c r="Y28" s="4">
        <v>3</v>
      </c>
      <c r="Z28" s="29"/>
      <c r="AA28" s="4"/>
      <c r="AB28" s="4" t="s">
        <v>70</v>
      </c>
      <c r="AC28" s="4" t="s">
        <v>70</v>
      </c>
      <c r="AD28" s="23" t="s">
        <v>154</v>
      </c>
      <c r="AE28" s="23" t="s">
        <v>72</v>
      </c>
      <c r="AF28" s="24" t="s">
        <v>111</v>
      </c>
      <c r="AG28" s="4" t="s">
        <v>84</v>
      </c>
      <c r="AH28" s="4">
        <v>3.86</v>
      </c>
      <c r="AI28" s="4" t="s">
        <v>84</v>
      </c>
      <c r="AJ28" s="4">
        <v>3.83</v>
      </c>
      <c r="AK28" s="4" t="s">
        <v>75</v>
      </c>
      <c r="AL28" s="64">
        <v>2</v>
      </c>
      <c r="AM28" s="67">
        <v>0.87999999999999545</v>
      </c>
      <c r="AN28" s="13">
        <v>43.563042952075335</v>
      </c>
      <c r="AO28" s="13">
        <v>49.198649627334049</v>
      </c>
      <c r="AP28" s="14">
        <v>4</v>
      </c>
      <c r="AQ28" s="14">
        <v>3</v>
      </c>
      <c r="AR28" s="13">
        <f>Table1[[#This Row],[Share of Domestic Debt (2023)]]-Table1[[#This Row],[Share of Domestic Debt (2005)]]</f>
        <v>5.6356066752587139</v>
      </c>
      <c r="AS28" s="35" t="s">
        <v>85</v>
      </c>
      <c r="AT28" s="4" t="s">
        <v>86</v>
      </c>
      <c r="AU28" s="4">
        <v>1</v>
      </c>
      <c r="AV28" s="4">
        <v>21.7</v>
      </c>
      <c r="AW28" s="4">
        <v>23.2</v>
      </c>
      <c r="AX28" s="4">
        <v>11.7</v>
      </c>
      <c r="AY28" s="4">
        <v>27.9</v>
      </c>
      <c r="AZ28" s="4">
        <v>4.3</v>
      </c>
      <c r="BA28" s="4">
        <v>11.3</v>
      </c>
      <c r="BB28" s="34">
        <v>8.9080728862316718</v>
      </c>
      <c r="BC28" s="13">
        <v>11.266627189889851</v>
      </c>
      <c r="BD28" s="13">
        <v>48.382152051242286</v>
      </c>
      <c r="BE28" s="13">
        <v>31.677137095662438</v>
      </c>
      <c r="BF28" s="14">
        <v>4</v>
      </c>
      <c r="BG28" s="14">
        <v>4</v>
      </c>
      <c r="BH28" s="14">
        <v>4</v>
      </c>
      <c r="BI28" s="14">
        <v>4</v>
      </c>
      <c r="BJ28" s="14" t="s">
        <v>87</v>
      </c>
      <c r="BK28" s="77"/>
      <c r="BL28" s="75"/>
      <c r="BM28" s="4">
        <v>1</v>
      </c>
      <c r="BN28" s="4"/>
      <c r="BO28" s="4"/>
      <c r="BP28" s="4"/>
    </row>
    <row r="29" spans="1:68" ht="16" x14ac:dyDescent="0.45">
      <c r="A29" s="11">
        <v>826</v>
      </c>
      <c r="B29" t="s">
        <v>155</v>
      </c>
      <c r="D29" s="4">
        <v>1</v>
      </c>
      <c r="E29" s="4" t="s">
        <v>79</v>
      </c>
      <c r="F29" s="4"/>
      <c r="G29" s="4">
        <v>1</v>
      </c>
      <c r="H29" s="4">
        <v>1</v>
      </c>
      <c r="I29" s="4">
        <v>1</v>
      </c>
      <c r="J29" s="55"/>
      <c r="K29" s="56"/>
      <c r="L29" s="4">
        <v>0</v>
      </c>
      <c r="M29" s="4"/>
      <c r="N29" s="4"/>
      <c r="O29" s="4">
        <v>0</v>
      </c>
      <c r="P29" s="4">
        <v>0</v>
      </c>
      <c r="Q29" s="4"/>
      <c r="R29" s="29"/>
      <c r="S29" s="4"/>
      <c r="T29" s="32"/>
      <c r="U29" s="29"/>
      <c r="V29" s="4">
        <v>1</v>
      </c>
      <c r="W29" s="29"/>
      <c r="X29" s="4" t="s">
        <v>126</v>
      </c>
      <c r="Y29" s="4">
        <v>3</v>
      </c>
      <c r="Z29" s="29"/>
      <c r="AA29" s="4"/>
      <c r="AB29" s="4" t="s">
        <v>70</v>
      </c>
      <c r="AC29" s="4" t="s">
        <v>70</v>
      </c>
      <c r="AD29" s="23" t="s">
        <v>156</v>
      </c>
      <c r="AE29" s="23" t="s">
        <v>72</v>
      </c>
      <c r="AF29" s="24" t="s">
        <v>73</v>
      </c>
      <c r="AG29" s="4" t="s">
        <v>74</v>
      </c>
      <c r="AH29" s="4">
        <v>2.88</v>
      </c>
      <c r="AI29" s="4" t="s">
        <v>84</v>
      </c>
      <c r="AJ29" s="4">
        <v>2.93</v>
      </c>
      <c r="AK29" s="4" t="s">
        <v>129</v>
      </c>
      <c r="AL29" s="64">
        <v>4</v>
      </c>
      <c r="AM29" s="67">
        <v>0</v>
      </c>
      <c r="AN29" s="13" t="s">
        <v>76</v>
      </c>
      <c r="AO29" s="13" t="s">
        <v>76</v>
      </c>
      <c r="AP29" s="14" t="s">
        <v>76</v>
      </c>
      <c r="AQ29" s="14" t="s">
        <v>76</v>
      </c>
      <c r="AR29" s="13" t="s">
        <v>76</v>
      </c>
      <c r="AS29" s="35" t="s">
        <v>76</v>
      </c>
      <c r="AT29" s="4" t="s">
        <v>76</v>
      </c>
      <c r="AU29" s="4" t="s">
        <v>76</v>
      </c>
      <c r="AV29" s="4" t="s">
        <v>76</v>
      </c>
      <c r="AW29" s="4" t="s">
        <v>76</v>
      </c>
      <c r="AX29" s="4" t="s">
        <v>76</v>
      </c>
      <c r="AY29" s="4" t="s">
        <v>76</v>
      </c>
      <c r="AZ29" s="4" t="s">
        <v>76</v>
      </c>
      <c r="BA29" s="4" t="s">
        <v>76</v>
      </c>
      <c r="BB29" s="34">
        <v>0.79084899622960048</v>
      </c>
      <c r="BC29" s="13">
        <v>0.13056043823548732</v>
      </c>
      <c r="BD29" s="13">
        <v>1.8860076098145904</v>
      </c>
      <c r="BE29" s="13">
        <v>0.13509394065712765</v>
      </c>
      <c r="BF29" s="14">
        <v>1</v>
      </c>
      <c r="BG29" s="14">
        <v>1</v>
      </c>
      <c r="BH29" s="14">
        <v>1</v>
      </c>
      <c r="BI29" s="14">
        <v>1</v>
      </c>
      <c r="BJ29" s="14" t="s">
        <v>99</v>
      </c>
      <c r="BK29" s="77"/>
      <c r="BL29" s="75"/>
      <c r="BM29" s="4"/>
      <c r="BN29" s="4"/>
      <c r="BO29" s="4"/>
      <c r="BP29" s="4"/>
    </row>
    <row r="30" spans="1:68" ht="16" x14ac:dyDescent="0.45">
      <c r="A30" s="11">
        <v>917</v>
      </c>
      <c r="B30" t="s">
        <v>157</v>
      </c>
      <c r="D30" s="4">
        <v>1</v>
      </c>
      <c r="E30" s="4" t="s">
        <v>69</v>
      </c>
      <c r="F30" s="4"/>
      <c r="G30" s="4"/>
      <c r="H30" s="4"/>
      <c r="I30" s="4"/>
      <c r="J30" s="55"/>
      <c r="K30" s="56"/>
      <c r="L30" s="4">
        <v>1</v>
      </c>
      <c r="M30" s="4"/>
      <c r="N30" s="4">
        <v>3</v>
      </c>
      <c r="O30" s="4">
        <v>1</v>
      </c>
      <c r="P30" s="4">
        <v>1</v>
      </c>
      <c r="Q30" s="4"/>
      <c r="R30" s="29"/>
      <c r="S30" s="4"/>
      <c r="T30" s="32"/>
      <c r="U30" s="29">
        <v>1</v>
      </c>
      <c r="V30" s="4"/>
      <c r="W30" s="29"/>
      <c r="X30" s="4" t="s">
        <v>80</v>
      </c>
      <c r="Y30" s="4">
        <v>2</v>
      </c>
      <c r="Z30" s="29" t="s">
        <v>70</v>
      </c>
      <c r="AA30" s="4"/>
      <c r="AB30" s="4" t="s">
        <v>91</v>
      </c>
      <c r="AC30" s="4" t="s">
        <v>91</v>
      </c>
      <c r="AD30" s="23" t="s">
        <v>158</v>
      </c>
      <c r="AE30" s="23" t="s">
        <v>72</v>
      </c>
      <c r="AF30" s="24" t="s">
        <v>93</v>
      </c>
      <c r="AG30" s="4" t="s">
        <v>84</v>
      </c>
      <c r="AH30" s="4">
        <v>3.59</v>
      </c>
      <c r="AI30" s="4" t="s">
        <v>98</v>
      </c>
      <c r="AJ30" s="4">
        <v>3.58</v>
      </c>
      <c r="AK30" s="4" t="s">
        <v>129</v>
      </c>
      <c r="AL30" s="64">
        <v>2</v>
      </c>
      <c r="AM30" s="67">
        <v>0</v>
      </c>
      <c r="AN30" s="13">
        <v>20.420703287954552</v>
      </c>
      <c r="AO30" s="13">
        <v>32.037482633482767</v>
      </c>
      <c r="AP30" s="14">
        <v>2</v>
      </c>
      <c r="AQ30" s="14">
        <v>2</v>
      </c>
      <c r="AR30" s="13">
        <f>Table1[[#This Row],[Share of Domestic Debt (2023)]]-Table1[[#This Row],[Share of Domestic Debt (2005)]]</f>
        <v>11.616779345528215</v>
      </c>
      <c r="AS30" s="35" t="s">
        <v>85</v>
      </c>
      <c r="AT30" s="4" t="s">
        <v>116</v>
      </c>
      <c r="AU30" s="4">
        <v>1</v>
      </c>
      <c r="AV30" s="4">
        <v>43</v>
      </c>
      <c r="AW30" s="4">
        <v>0</v>
      </c>
      <c r="AX30" s="4">
        <v>15.5</v>
      </c>
      <c r="AY30" s="4">
        <v>17.7</v>
      </c>
      <c r="AZ30" s="4">
        <v>0</v>
      </c>
      <c r="BA30" s="4">
        <v>23.8</v>
      </c>
      <c r="BB30" s="34">
        <v>3.6187523828296562</v>
      </c>
      <c r="BC30" s="13">
        <v>6.1332667591720735</v>
      </c>
      <c r="BD30" s="13">
        <v>2.2381110989819581</v>
      </c>
      <c r="BE30" s="13">
        <v>3.4475385835175807</v>
      </c>
      <c r="BF30" s="14">
        <v>3</v>
      </c>
      <c r="BG30" s="14">
        <v>1</v>
      </c>
      <c r="BH30" s="14">
        <v>2</v>
      </c>
      <c r="BI30" s="14">
        <v>1</v>
      </c>
      <c r="BJ30" s="14" t="s">
        <v>130</v>
      </c>
      <c r="BK30" s="77"/>
      <c r="BL30" s="75"/>
      <c r="BM30" s="4"/>
      <c r="BN30" s="4"/>
      <c r="BO30" s="4"/>
      <c r="BP30" s="4"/>
    </row>
    <row r="31" spans="1:68" ht="16" x14ac:dyDescent="0.45">
      <c r="A31" s="11">
        <v>544</v>
      </c>
      <c r="B31" t="s">
        <v>159</v>
      </c>
      <c r="D31" s="4">
        <v>1</v>
      </c>
      <c r="E31" s="4" t="s">
        <v>79</v>
      </c>
      <c r="F31" s="4"/>
      <c r="G31" s="4"/>
      <c r="H31" s="4"/>
      <c r="I31" s="4"/>
      <c r="J31" s="55"/>
      <c r="K31" s="56"/>
      <c r="L31" s="4">
        <v>0</v>
      </c>
      <c r="M31" s="4"/>
      <c r="N31" s="4"/>
      <c r="O31" s="4">
        <v>0</v>
      </c>
      <c r="P31" s="4">
        <v>0</v>
      </c>
      <c r="Q31" s="4"/>
      <c r="R31" s="29"/>
      <c r="S31" s="4"/>
      <c r="T31" s="32"/>
      <c r="U31" s="29"/>
      <c r="V31" s="4">
        <v>1</v>
      </c>
      <c r="W31" s="29"/>
      <c r="X31" s="4" t="s">
        <v>126</v>
      </c>
      <c r="Y31" s="4">
        <v>3</v>
      </c>
      <c r="Z31" s="29" t="s">
        <v>70</v>
      </c>
      <c r="AA31" s="4"/>
      <c r="AB31" s="4" t="s">
        <v>127</v>
      </c>
      <c r="AC31" s="4" t="s">
        <v>127</v>
      </c>
      <c r="AD31" s="23" t="s">
        <v>147</v>
      </c>
      <c r="AE31" s="23" t="s">
        <v>123</v>
      </c>
      <c r="AF31" s="24" t="s">
        <v>111</v>
      </c>
      <c r="AG31" s="4" t="s">
        <v>84</v>
      </c>
      <c r="AH31" s="4">
        <v>3.4</v>
      </c>
      <c r="AI31" s="4" t="s">
        <v>74</v>
      </c>
      <c r="AJ31" s="4">
        <v>2.98</v>
      </c>
      <c r="AK31" s="4" t="s">
        <v>103</v>
      </c>
      <c r="AL31" s="64">
        <v>6.15</v>
      </c>
      <c r="AM31" s="67">
        <v>27.934999999999999</v>
      </c>
      <c r="AN31" s="13">
        <v>0</v>
      </c>
      <c r="AO31" s="13">
        <v>30.248903800354725</v>
      </c>
      <c r="AP31" s="14">
        <v>1</v>
      </c>
      <c r="AQ31" s="14">
        <v>1</v>
      </c>
      <c r="AR31" s="13">
        <f>Table1[[#This Row],[Share of Domestic Debt (2023)]]-Table1[[#This Row],[Share of Domestic Debt (2005)]]</f>
        <v>30.248903800354725</v>
      </c>
      <c r="AS31" s="35" t="s">
        <v>104</v>
      </c>
      <c r="AT31" s="4" t="s">
        <v>116</v>
      </c>
      <c r="AU31" s="4">
        <v>1</v>
      </c>
      <c r="AV31" s="4">
        <v>49.6</v>
      </c>
      <c r="AW31" s="4">
        <v>15.1</v>
      </c>
      <c r="AX31" s="4">
        <v>16.2</v>
      </c>
      <c r="AY31" s="4">
        <v>7.1</v>
      </c>
      <c r="AZ31" s="4">
        <v>0</v>
      </c>
      <c r="BA31" s="4">
        <v>12</v>
      </c>
      <c r="BB31" s="34">
        <v>3.2142069912713511</v>
      </c>
      <c r="BC31" s="13">
        <v>7.4146695002814411</v>
      </c>
      <c r="BD31" s="13">
        <v>5.1444737223577395</v>
      </c>
      <c r="BE31" s="13">
        <v>19.572517253135356</v>
      </c>
      <c r="BF31" s="14">
        <v>3</v>
      </c>
      <c r="BG31" s="14">
        <v>4</v>
      </c>
      <c r="BH31" s="14">
        <v>2</v>
      </c>
      <c r="BI31" s="14">
        <v>2</v>
      </c>
      <c r="BJ31" s="14" t="s">
        <v>95</v>
      </c>
      <c r="BK31" s="77" t="s">
        <v>144</v>
      </c>
      <c r="BL31" s="75"/>
      <c r="BM31" s="4">
        <v>1</v>
      </c>
      <c r="BN31" s="4"/>
      <c r="BO31" s="4"/>
      <c r="BP31" s="4"/>
    </row>
    <row r="32" spans="1:68" ht="16" x14ac:dyDescent="0.45">
      <c r="A32" s="11">
        <v>666</v>
      </c>
      <c r="B32" t="s">
        <v>160</v>
      </c>
      <c r="D32" s="4">
        <v>1</v>
      </c>
      <c r="E32" s="4" t="s">
        <v>89</v>
      </c>
      <c r="F32" s="4"/>
      <c r="G32" s="4"/>
      <c r="H32" s="4"/>
      <c r="I32" s="4"/>
      <c r="J32" s="55"/>
      <c r="K32" s="56"/>
      <c r="L32" s="4">
        <v>1</v>
      </c>
      <c r="M32" s="4"/>
      <c r="N32" s="4">
        <v>1</v>
      </c>
      <c r="O32" s="4">
        <v>0</v>
      </c>
      <c r="P32" s="4">
        <v>0</v>
      </c>
      <c r="Q32" s="4"/>
      <c r="R32" s="29"/>
      <c r="S32" s="4"/>
      <c r="T32" s="32"/>
      <c r="U32" s="29">
        <v>1</v>
      </c>
      <c r="V32" s="4"/>
      <c r="W32" s="29"/>
      <c r="X32" s="4">
        <v>1</v>
      </c>
      <c r="Y32" s="4">
        <v>1</v>
      </c>
      <c r="Z32" s="29" t="s">
        <v>91</v>
      </c>
      <c r="AA32" s="4"/>
      <c r="AB32" s="4" t="s">
        <v>91</v>
      </c>
      <c r="AC32" s="4" t="s">
        <v>91</v>
      </c>
      <c r="AD32" s="23" t="s">
        <v>97</v>
      </c>
      <c r="AE32" s="23" t="s">
        <v>72</v>
      </c>
      <c r="AF32" s="24" t="s">
        <v>93</v>
      </c>
      <c r="AG32" s="4" t="s">
        <v>84</v>
      </c>
      <c r="AH32" s="4">
        <v>3.48</v>
      </c>
      <c r="AI32" s="4" t="s">
        <v>84</v>
      </c>
      <c r="AJ32" s="4">
        <v>3.27</v>
      </c>
      <c r="AK32" s="4" t="s">
        <v>75</v>
      </c>
      <c r="AL32" s="64">
        <v>2.5666666666666669</v>
      </c>
      <c r="AM32" s="67">
        <v>1.1000000000000014</v>
      </c>
      <c r="AN32" s="13">
        <v>15.328289195268852</v>
      </c>
      <c r="AO32" s="13">
        <v>24.955280280682246</v>
      </c>
      <c r="AP32" s="14">
        <v>2</v>
      </c>
      <c r="AQ32" s="14">
        <v>1</v>
      </c>
      <c r="AR32" s="13">
        <f>Table1[[#This Row],[Share of Domestic Debt (2023)]]-Table1[[#This Row],[Share of Domestic Debt (2005)]]</f>
        <v>9.626991085413394</v>
      </c>
      <c r="AS32" s="35" t="s">
        <v>85</v>
      </c>
      <c r="AT32" s="4" t="s">
        <v>86</v>
      </c>
      <c r="AU32" s="4">
        <v>0</v>
      </c>
      <c r="AV32" s="4">
        <v>9.9</v>
      </c>
      <c r="AW32" s="4">
        <v>0.6</v>
      </c>
      <c r="AX32" s="4">
        <v>7.3</v>
      </c>
      <c r="AY32" s="4">
        <v>41.1</v>
      </c>
      <c r="AZ32" s="4">
        <v>0</v>
      </c>
      <c r="BA32" s="4">
        <v>41</v>
      </c>
      <c r="BB32" s="34">
        <v>2.7443975400569163</v>
      </c>
      <c r="BC32" s="13">
        <v>2.5336367544143297</v>
      </c>
      <c r="BD32" s="13">
        <v>3.7658200534761632</v>
      </c>
      <c r="BE32" s="13">
        <v>2.5836655150509409</v>
      </c>
      <c r="BF32" s="14">
        <v>1</v>
      </c>
      <c r="BG32" s="14">
        <v>1</v>
      </c>
      <c r="BH32" s="14">
        <v>2</v>
      </c>
      <c r="BI32" s="14">
        <v>2</v>
      </c>
      <c r="BJ32" s="14" t="s">
        <v>100</v>
      </c>
      <c r="BK32" s="77"/>
      <c r="BL32" s="75"/>
      <c r="BM32" s="4"/>
      <c r="BN32" s="4"/>
      <c r="BO32" s="4"/>
      <c r="BP32" s="4"/>
    </row>
    <row r="33" spans="1:68" ht="16" x14ac:dyDescent="0.45">
      <c r="A33" s="11">
        <v>668</v>
      </c>
      <c r="B33" t="s">
        <v>161</v>
      </c>
      <c r="D33" s="4">
        <v>1</v>
      </c>
      <c r="E33" s="4" t="s">
        <v>89</v>
      </c>
      <c r="F33" s="4"/>
      <c r="G33" s="4">
        <v>1</v>
      </c>
      <c r="H33" s="4"/>
      <c r="I33" s="4"/>
      <c r="J33" s="55">
        <v>1</v>
      </c>
      <c r="K33" s="56"/>
      <c r="L33" s="4">
        <v>1</v>
      </c>
      <c r="M33" s="4">
        <v>1</v>
      </c>
      <c r="N33" s="4">
        <v>4</v>
      </c>
      <c r="O33" s="4">
        <v>1</v>
      </c>
      <c r="P33" s="4">
        <v>1</v>
      </c>
      <c r="Q33" s="4"/>
      <c r="R33" s="29">
        <v>1</v>
      </c>
      <c r="S33" s="4">
        <v>2010</v>
      </c>
      <c r="T33" s="32"/>
      <c r="U33" s="29">
        <v>1</v>
      </c>
      <c r="V33" s="4"/>
      <c r="W33" s="29"/>
      <c r="X33" s="4">
        <v>1</v>
      </c>
      <c r="Y33" s="4">
        <v>1</v>
      </c>
      <c r="Z33" s="29"/>
      <c r="AA33" s="4" t="s">
        <v>81</v>
      </c>
      <c r="AB33" s="4" t="s">
        <v>91</v>
      </c>
      <c r="AC33" s="4" t="s">
        <v>70</v>
      </c>
      <c r="AD33" s="23" t="s">
        <v>97</v>
      </c>
      <c r="AE33" s="23" t="s">
        <v>72</v>
      </c>
      <c r="AF33" s="24" t="s">
        <v>111</v>
      </c>
      <c r="AG33" s="4" t="s">
        <v>74</v>
      </c>
      <c r="AH33" s="4">
        <v>3.06</v>
      </c>
      <c r="AI33" s="4" t="s">
        <v>74</v>
      </c>
      <c r="AJ33" s="4">
        <v>2.99</v>
      </c>
      <c r="AK33" s="4" t="s">
        <v>75</v>
      </c>
      <c r="AL33" s="64">
        <v>1.6</v>
      </c>
      <c r="AM33" s="67">
        <v>7</v>
      </c>
      <c r="AN33" s="13">
        <v>76.658708748112389</v>
      </c>
      <c r="AO33" s="13">
        <v>50.655729742077483</v>
      </c>
      <c r="AP33" s="14">
        <v>4</v>
      </c>
      <c r="AQ33" s="14">
        <v>3</v>
      </c>
      <c r="AR33" s="13">
        <f>Table1[[#This Row],[Share of Domestic Debt (2023)]]-Table1[[#This Row],[Share of Domestic Debt (2005)]]</f>
        <v>-26.002979006034906</v>
      </c>
      <c r="AS33" s="35" t="s">
        <v>112</v>
      </c>
      <c r="AT33" s="4" t="s">
        <v>86</v>
      </c>
      <c r="AU33" s="4">
        <v>0</v>
      </c>
      <c r="AV33" s="4">
        <v>4.2</v>
      </c>
      <c r="AW33" s="4">
        <v>0</v>
      </c>
      <c r="AX33" s="4">
        <v>14.5</v>
      </c>
      <c r="AY33" s="4">
        <v>51.7</v>
      </c>
      <c r="AZ33" s="4">
        <v>0.1</v>
      </c>
      <c r="BA33" s="4">
        <v>29.5</v>
      </c>
      <c r="BB33" s="34">
        <v>0.11700569962211568</v>
      </c>
      <c r="BC33" s="13">
        <v>0.34858096529986049</v>
      </c>
      <c r="BD33" s="13">
        <v>3.5230270345275572</v>
      </c>
      <c r="BE33" s="13">
        <v>6.184547069815757</v>
      </c>
      <c r="BF33" s="14">
        <v>1</v>
      </c>
      <c r="BG33" s="14">
        <v>2</v>
      </c>
      <c r="BH33" s="14">
        <v>1</v>
      </c>
      <c r="BI33" s="14">
        <v>2</v>
      </c>
      <c r="BJ33" s="14" t="s">
        <v>95</v>
      </c>
      <c r="BK33" s="77"/>
      <c r="BL33" s="75"/>
      <c r="BM33" s="4"/>
      <c r="BN33" s="4"/>
      <c r="BO33" s="4"/>
      <c r="BP33" s="4"/>
    </row>
    <row r="34" spans="1:68" ht="16" x14ac:dyDescent="0.45">
      <c r="A34" s="11">
        <v>674</v>
      </c>
      <c r="B34" t="s">
        <v>162</v>
      </c>
      <c r="D34" s="4">
        <v>1</v>
      </c>
      <c r="E34" s="4" t="s">
        <v>89</v>
      </c>
      <c r="F34" s="4"/>
      <c r="G34" s="4"/>
      <c r="H34" s="4"/>
      <c r="I34" s="4"/>
      <c r="J34" s="55"/>
      <c r="K34" s="56"/>
      <c r="L34" s="4">
        <v>1</v>
      </c>
      <c r="M34" s="4">
        <v>1</v>
      </c>
      <c r="N34" s="4">
        <v>4</v>
      </c>
      <c r="O34" s="4">
        <v>1</v>
      </c>
      <c r="P34" s="4">
        <v>1</v>
      </c>
      <c r="Q34" s="4">
        <v>1</v>
      </c>
      <c r="R34" s="29">
        <v>1</v>
      </c>
      <c r="S34" s="4">
        <v>2004</v>
      </c>
      <c r="T34" s="32"/>
      <c r="U34" s="29">
        <v>1</v>
      </c>
      <c r="V34" s="4"/>
      <c r="W34" s="29"/>
      <c r="X34" s="4">
        <v>1</v>
      </c>
      <c r="Y34" s="4">
        <v>1</v>
      </c>
      <c r="Z34" s="29" t="s">
        <v>81</v>
      </c>
      <c r="AA34" s="4"/>
      <c r="AB34" s="4" t="s">
        <v>91</v>
      </c>
      <c r="AC34" s="4" t="s">
        <v>91</v>
      </c>
      <c r="AD34" s="23" t="s">
        <v>82</v>
      </c>
      <c r="AE34" s="23" t="s">
        <v>72</v>
      </c>
      <c r="AF34" s="24" t="s">
        <v>93</v>
      </c>
      <c r="AG34" s="4" t="s">
        <v>74</v>
      </c>
      <c r="AH34" s="4">
        <v>3.04</v>
      </c>
      <c r="AI34" s="4" t="s">
        <v>84</v>
      </c>
      <c r="AJ34" s="4">
        <v>3.25</v>
      </c>
      <c r="AK34" s="4" t="s">
        <v>129</v>
      </c>
      <c r="AL34" s="64">
        <v>2.2000000000000002</v>
      </c>
      <c r="AM34" s="67">
        <v>0</v>
      </c>
      <c r="AN34" s="13">
        <v>21.142805921194238</v>
      </c>
      <c r="AO34" s="13">
        <v>47.265675901429503</v>
      </c>
      <c r="AP34" s="14">
        <v>2</v>
      </c>
      <c r="AQ34" s="14">
        <v>3</v>
      </c>
      <c r="AR34" s="13">
        <f>Table1[[#This Row],[Share of Domestic Debt (2023)]]-Table1[[#This Row],[Share of Domestic Debt (2005)]]</f>
        <v>26.122869980235265</v>
      </c>
      <c r="AS34" s="35" t="s">
        <v>94</v>
      </c>
      <c r="AT34" s="4" t="s">
        <v>86</v>
      </c>
      <c r="AU34" s="4">
        <v>0</v>
      </c>
      <c r="AV34" s="4">
        <v>4</v>
      </c>
      <c r="AW34" s="4">
        <v>3.5</v>
      </c>
      <c r="AX34" s="4">
        <v>12.6</v>
      </c>
      <c r="AY34" s="4">
        <v>55.3</v>
      </c>
      <c r="AZ34" s="4">
        <v>0</v>
      </c>
      <c r="BA34" s="4">
        <v>24.5</v>
      </c>
      <c r="BB34" s="34">
        <v>10.044699400199523</v>
      </c>
      <c r="BC34" s="13">
        <v>14.306136291437355</v>
      </c>
      <c r="BD34" s="13">
        <v>3.8513904174119435</v>
      </c>
      <c r="BE34" s="13">
        <v>6.5559734103099805</v>
      </c>
      <c r="BF34" s="14">
        <v>4</v>
      </c>
      <c r="BG34" s="14">
        <v>2</v>
      </c>
      <c r="BH34" s="14">
        <v>4</v>
      </c>
      <c r="BI34" s="14">
        <v>2</v>
      </c>
      <c r="BJ34" s="14" t="s">
        <v>130</v>
      </c>
      <c r="BK34" s="77"/>
      <c r="BL34" s="75"/>
      <c r="BM34" s="4"/>
      <c r="BN34" s="4"/>
      <c r="BO34" s="4"/>
      <c r="BP34" s="4"/>
    </row>
    <row r="35" spans="1:68" ht="16" x14ac:dyDescent="0.45">
      <c r="A35" s="11">
        <v>676</v>
      </c>
      <c r="B35" t="s">
        <v>163</v>
      </c>
      <c r="D35" s="4">
        <v>1</v>
      </c>
      <c r="E35" s="4" t="s">
        <v>89</v>
      </c>
      <c r="F35" s="4"/>
      <c r="G35" s="4">
        <v>1</v>
      </c>
      <c r="H35" s="4"/>
      <c r="I35" s="4"/>
      <c r="J35" s="55"/>
      <c r="K35" s="56"/>
      <c r="L35" s="4">
        <v>1</v>
      </c>
      <c r="M35" s="4">
        <v>1</v>
      </c>
      <c r="N35" s="4">
        <v>5</v>
      </c>
      <c r="O35" s="4">
        <v>1</v>
      </c>
      <c r="P35" s="4">
        <v>1</v>
      </c>
      <c r="Q35" s="4"/>
      <c r="R35" s="29">
        <v>1</v>
      </c>
      <c r="S35" s="4">
        <v>2006</v>
      </c>
      <c r="T35" s="32">
        <v>1</v>
      </c>
      <c r="U35" s="29">
        <v>1</v>
      </c>
      <c r="V35" s="4"/>
      <c r="W35" s="29"/>
      <c r="X35" s="4">
        <v>1</v>
      </c>
      <c r="Y35" s="4">
        <v>1</v>
      </c>
      <c r="Z35" s="29" t="s">
        <v>91</v>
      </c>
      <c r="AA35" s="4" t="s">
        <v>91</v>
      </c>
      <c r="AB35" s="4" t="s">
        <v>127</v>
      </c>
      <c r="AC35" s="4" t="s">
        <v>127</v>
      </c>
      <c r="AD35" s="23" t="s">
        <v>164</v>
      </c>
      <c r="AE35" s="23" t="s">
        <v>123</v>
      </c>
      <c r="AF35" s="24" t="s">
        <v>111</v>
      </c>
      <c r="AG35" s="4" t="s">
        <v>74</v>
      </c>
      <c r="AH35" s="4">
        <v>3.16</v>
      </c>
      <c r="AI35" s="4" t="s">
        <v>74</v>
      </c>
      <c r="AJ35" s="4">
        <v>3.03</v>
      </c>
      <c r="AK35" s="4" t="s">
        <v>75</v>
      </c>
      <c r="AL35" s="64">
        <v>2</v>
      </c>
      <c r="AM35" s="67">
        <v>0</v>
      </c>
      <c r="AN35" s="13">
        <v>12.344029909546563</v>
      </c>
      <c r="AO35" s="13">
        <v>63.672162780552974</v>
      </c>
      <c r="AP35" s="14">
        <v>1</v>
      </c>
      <c r="AQ35" s="14">
        <v>4</v>
      </c>
      <c r="AR35" s="13">
        <f>Table1[[#This Row],[Share of Domestic Debt (2023)]]-Table1[[#This Row],[Share of Domestic Debt (2005)]]</f>
        <v>51.32813287100641</v>
      </c>
      <c r="AS35" s="35" t="s">
        <v>104</v>
      </c>
      <c r="AT35" s="4" t="s">
        <v>86</v>
      </c>
      <c r="AU35" s="4">
        <v>1</v>
      </c>
      <c r="AV35" s="4">
        <v>11.9</v>
      </c>
      <c r="AW35" s="4">
        <v>0</v>
      </c>
      <c r="AX35" s="4">
        <v>10.7</v>
      </c>
      <c r="AY35" s="4">
        <v>46.8</v>
      </c>
      <c r="AZ35" s="4">
        <v>0</v>
      </c>
      <c r="BA35" s="4">
        <v>30.6</v>
      </c>
      <c r="BB35" s="34">
        <v>27.875948119219501</v>
      </c>
      <c r="BC35" s="13">
        <v>19.085559151066256</v>
      </c>
      <c r="BD35" s="13">
        <v>39.485716440933906</v>
      </c>
      <c r="BE35" s="13">
        <v>30.413326120898017</v>
      </c>
      <c r="BF35" s="14">
        <v>4</v>
      </c>
      <c r="BG35" s="14">
        <v>4</v>
      </c>
      <c r="BH35" s="14">
        <v>4</v>
      </c>
      <c r="BI35" s="14">
        <v>4</v>
      </c>
      <c r="BJ35" s="14" t="s">
        <v>87</v>
      </c>
      <c r="BK35" s="77" t="s">
        <v>144</v>
      </c>
      <c r="BL35" s="75"/>
      <c r="BM35" s="4"/>
      <c r="BN35" s="4"/>
      <c r="BO35" s="4"/>
      <c r="BP35" s="4"/>
    </row>
    <row r="36" spans="1:68" ht="16" x14ac:dyDescent="0.45">
      <c r="A36" s="11">
        <v>556</v>
      </c>
      <c r="B36" t="s">
        <v>165</v>
      </c>
      <c r="D36" s="4"/>
      <c r="E36" s="4" t="s">
        <v>79</v>
      </c>
      <c r="F36" s="4"/>
      <c r="G36" s="4"/>
      <c r="H36" s="4"/>
      <c r="I36" s="4">
        <v>1</v>
      </c>
      <c r="J36" s="55">
        <v>1</v>
      </c>
      <c r="K36" s="56">
        <v>1</v>
      </c>
      <c r="L36" s="4">
        <v>1</v>
      </c>
      <c r="M36" s="4"/>
      <c r="N36" s="4">
        <v>1</v>
      </c>
      <c r="O36" s="4">
        <v>0</v>
      </c>
      <c r="P36" s="4">
        <v>0</v>
      </c>
      <c r="Q36" s="4"/>
      <c r="R36" s="29"/>
      <c r="S36" s="4"/>
      <c r="T36" s="32"/>
      <c r="U36" s="29">
        <v>1</v>
      </c>
      <c r="V36" s="4"/>
      <c r="W36" s="29"/>
      <c r="X36" s="4" t="s">
        <v>126</v>
      </c>
      <c r="Y36" s="4">
        <v>4</v>
      </c>
      <c r="Z36" s="29"/>
      <c r="AA36" s="4"/>
      <c r="AB36" s="4" t="s">
        <v>70</v>
      </c>
      <c r="AC36" s="4" t="s">
        <v>70</v>
      </c>
      <c r="AD36" s="23" t="s">
        <v>136</v>
      </c>
      <c r="AE36" s="23" t="s">
        <v>72</v>
      </c>
      <c r="AF36" s="24" t="s">
        <v>73</v>
      </c>
      <c r="AG36" s="4" t="s">
        <v>84</v>
      </c>
      <c r="AH36" s="4">
        <v>3.28</v>
      </c>
      <c r="AI36" s="4" t="s">
        <v>74</v>
      </c>
      <c r="AJ36" s="4">
        <v>3.11</v>
      </c>
      <c r="AK36" s="4" t="s">
        <v>103</v>
      </c>
      <c r="AL36" s="64">
        <v>2</v>
      </c>
      <c r="AM36" s="67">
        <v>0</v>
      </c>
      <c r="AN36" s="13">
        <v>40.348167084390909</v>
      </c>
      <c r="AO36" s="13">
        <v>57.771168023530549</v>
      </c>
      <c r="AP36" s="14">
        <v>4</v>
      </c>
      <c r="AQ36" s="14">
        <v>4</v>
      </c>
      <c r="AR36" s="13">
        <f>Table1[[#This Row],[Share of Domestic Debt (2023)]]-Table1[[#This Row],[Share of Domestic Debt (2005)]]</f>
        <v>17.423000939139641</v>
      </c>
      <c r="AS36" s="35" t="s">
        <v>85</v>
      </c>
      <c r="AT36" s="4" t="s">
        <v>116</v>
      </c>
      <c r="AU36" s="4">
        <v>1</v>
      </c>
      <c r="AV36" s="4">
        <v>37.1</v>
      </c>
      <c r="AW36" s="4">
        <v>18.7</v>
      </c>
      <c r="AX36" s="4">
        <v>22</v>
      </c>
      <c r="AY36" s="4">
        <v>6.5</v>
      </c>
      <c r="AZ36" s="4">
        <v>0</v>
      </c>
      <c r="BA36" s="4">
        <v>15.7</v>
      </c>
      <c r="BB36" s="34">
        <v>2.4976581763224237</v>
      </c>
      <c r="BC36" s="13">
        <v>3.357974376205858</v>
      </c>
      <c r="BD36" s="13">
        <v>7.2220106696338506</v>
      </c>
      <c r="BE36" s="13">
        <v>17.005131031778763</v>
      </c>
      <c r="BF36" s="14">
        <v>2</v>
      </c>
      <c r="BG36" s="14">
        <v>4</v>
      </c>
      <c r="BH36" s="14">
        <v>1</v>
      </c>
      <c r="BI36" s="14">
        <v>3</v>
      </c>
      <c r="BJ36" s="14" t="s">
        <v>95</v>
      </c>
      <c r="BK36" s="77" t="s">
        <v>144</v>
      </c>
      <c r="BL36" s="75"/>
      <c r="BM36" s="4"/>
      <c r="BN36" s="4"/>
      <c r="BO36" s="4"/>
      <c r="BP36" s="4"/>
    </row>
    <row r="37" spans="1:68" ht="16" x14ac:dyDescent="0.45">
      <c r="A37" s="11">
        <v>678</v>
      </c>
      <c r="B37" t="s">
        <v>166</v>
      </c>
      <c r="D37" s="4">
        <v>1</v>
      </c>
      <c r="E37" s="4" t="s">
        <v>89</v>
      </c>
      <c r="F37" s="4" t="s">
        <v>90</v>
      </c>
      <c r="G37" s="4">
        <v>1</v>
      </c>
      <c r="H37" s="4">
        <v>1</v>
      </c>
      <c r="I37" s="4"/>
      <c r="J37" s="55">
        <v>1</v>
      </c>
      <c r="K37" s="56">
        <v>1</v>
      </c>
      <c r="L37" s="4">
        <v>1</v>
      </c>
      <c r="M37" s="4"/>
      <c r="N37" s="4">
        <v>4</v>
      </c>
      <c r="O37" s="4">
        <v>1</v>
      </c>
      <c r="P37" s="4">
        <v>1</v>
      </c>
      <c r="Q37" s="4"/>
      <c r="R37" s="29">
        <v>1</v>
      </c>
      <c r="S37" s="4" t="s">
        <v>167</v>
      </c>
      <c r="T37" s="32"/>
      <c r="U37" s="29">
        <v>1</v>
      </c>
      <c r="V37" s="4"/>
      <c r="W37" s="29"/>
      <c r="X37" s="4">
        <v>1</v>
      </c>
      <c r="Y37" s="4">
        <v>1</v>
      </c>
      <c r="Z37" s="29" t="s">
        <v>81</v>
      </c>
      <c r="AA37" s="4"/>
      <c r="AB37" s="4" t="s">
        <v>91</v>
      </c>
      <c r="AC37" s="4" t="s">
        <v>91</v>
      </c>
      <c r="AD37" s="23" t="s">
        <v>168</v>
      </c>
      <c r="AE37" s="23" t="s">
        <v>72</v>
      </c>
      <c r="AF37" s="24" t="s">
        <v>111</v>
      </c>
      <c r="AG37" s="4" t="s">
        <v>84</v>
      </c>
      <c r="AH37" s="4">
        <v>3.38</v>
      </c>
      <c r="AI37" s="4" t="s">
        <v>84</v>
      </c>
      <c r="AJ37" s="4">
        <v>3.21</v>
      </c>
      <c r="AK37" s="4" t="s">
        <v>75</v>
      </c>
      <c r="AL37" s="64">
        <v>3.75</v>
      </c>
      <c r="AM37" s="67">
        <v>0.97499999999999432</v>
      </c>
      <c r="AN37" s="13">
        <v>0</v>
      </c>
      <c r="AO37" s="13">
        <v>51.337247134476343</v>
      </c>
      <c r="AP37" s="14">
        <v>1</v>
      </c>
      <c r="AQ37" s="14">
        <v>3</v>
      </c>
      <c r="AR37" s="13">
        <f>Table1[[#This Row],[Share of Domestic Debt (2023)]]-Table1[[#This Row],[Share of Domestic Debt (2005)]]</f>
        <v>51.337247134476343</v>
      </c>
      <c r="AS37" s="35" t="s">
        <v>104</v>
      </c>
      <c r="AT37" s="4" t="s">
        <v>86</v>
      </c>
      <c r="AU37" s="4">
        <v>1</v>
      </c>
      <c r="AV37" s="4">
        <v>12</v>
      </c>
      <c r="AW37" s="4">
        <v>0</v>
      </c>
      <c r="AX37" s="4">
        <v>14.1</v>
      </c>
      <c r="AY37" s="4">
        <v>40.299999999999997</v>
      </c>
      <c r="AZ37" s="4">
        <v>0</v>
      </c>
      <c r="BA37" s="4">
        <v>33.5</v>
      </c>
      <c r="BB37" s="34">
        <v>2.5711922884742067</v>
      </c>
      <c r="BC37" s="13">
        <v>2.936754278587804</v>
      </c>
      <c r="BD37" s="13">
        <v>5.6956072897868646</v>
      </c>
      <c r="BE37" s="13">
        <v>7.6487524993802056</v>
      </c>
      <c r="BF37" s="14">
        <v>1</v>
      </c>
      <c r="BG37" s="14">
        <v>2</v>
      </c>
      <c r="BH37" s="14">
        <v>2</v>
      </c>
      <c r="BI37" s="14">
        <v>2</v>
      </c>
      <c r="BJ37" s="14" t="s">
        <v>105</v>
      </c>
      <c r="BK37" s="77"/>
      <c r="BL37" s="75"/>
      <c r="BM37" s="4"/>
      <c r="BN37" s="4"/>
      <c r="BO37" s="4"/>
      <c r="BP37" s="4"/>
    </row>
    <row r="38" spans="1:68" ht="16" x14ac:dyDescent="0.45">
      <c r="A38" s="11">
        <v>867</v>
      </c>
      <c r="B38" t="s">
        <v>169</v>
      </c>
      <c r="D38" s="4"/>
      <c r="E38" s="4" t="s">
        <v>79</v>
      </c>
      <c r="F38" s="4"/>
      <c r="G38" s="4">
        <v>1</v>
      </c>
      <c r="H38" s="4">
        <v>1</v>
      </c>
      <c r="I38" s="4">
        <v>1</v>
      </c>
      <c r="J38" s="55"/>
      <c r="K38" s="56"/>
      <c r="L38" s="4">
        <v>0</v>
      </c>
      <c r="M38" s="4"/>
      <c r="N38" s="4"/>
      <c r="O38" s="4">
        <v>0</v>
      </c>
      <c r="P38" s="4">
        <v>0</v>
      </c>
      <c r="Q38" s="4"/>
      <c r="R38" s="29"/>
      <c r="S38" s="4"/>
      <c r="T38" s="32"/>
      <c r="U38" s="29"/>
      <c r="V38" s="4">
        <v>1</v>
      </c>
      <c r="W38" s="29"/>
      <c r="X38" s="4" t="s">
        <v>126</v>
      </c>
      <c r="Y38" s="4">
        <v>4</v>
      </c>
      <c r="Z38" s="29"/>
      <c r="AA38" s="4"/>
      <c r="AB38" s="4" t="s">
        <v>70</v>
      </c>
      <c r="AC38" s="4" t="s">
        <v>70</v>
      </c>
      <c r="AD38" s="23" t="s">
        <v>170</v>
      </c>
      <c r="AE38" s="23" t="s">
        <v>72</v>
      </c>
      <c r="AF38" s="24" t="s">
        <v>73</v>
      </c>
      <c r="AG38" s="4" t="s">
        <v>74</v>
      </c>
      <c r="AH38" s="4">
        <v>2.68</v>
      </c>
      <c r="AI38" s="4" t="s">
        <v>74</v>
      </c>
      <c r="AJ38" s="4">
        <v>2.65</v>
      </c>
      <c r="AK38" s="4" t="s">
        <v>75</v>
      </c>
      <c r="AL38" s="64">
        <v>2</v>
      </c>
      <c r="AM38" s="67">
        <v>0</v>
      </c>
      <c r="AN38" s="13" t="s">
        <v>76</v>
      </c>
      <c r="AO38" s="13" t="s">
        <v>76</v>
      </c>
      <c r="AP38" s="14" t="s">
        <v>76</v>
      </c>
      <c r="AQ38" s="14" t="s">
        <v>76</v>
      </c>
      <c r="AR38" s="13" t="s">
        <v>76</v>
      </c>
      <c r="AS38" s="35" t="s">
        <v>76</v>
      </c>
      <c r="AT38" s="4" t="s">
        <v>76</v>
      </c>
      <c r="AU38" s="4" t="s">
        <v>76</v>
      </c>
      <c r="AV38" s="4" t="s">
        <v>76</v>
      </c>
      <c r="AW38" s="4" t="s">
        <v>76</v>
      </c>
      <c r="AX38" s="4" t="s">
        <v>76</v>
      </c>
      <c r="AY38" s="4" t="s">
        <v>76</v>
      </c>
      <c r="AZ38" s="4" t="s">
        <v>76</v>
      </c>
      <c r="BA38" s="4" t="s">
        <v>76</v>
      </c>
      <c r="BB38" s="34">
        <v>2.0909644741831785</v>
      </c>
      <c r="BC38" s="13">
        <v>1.0711390443151745</v>
      </c>
      <c r="BD38" s="13">
        <v>0.57691045622947867</v>
      </c>
      <c r="BE38" s="13">
        <v>0.31430044115116418</v>
      </c>
      <c r="BF38" s="14">
        <v>1</v>
      </c>
      <c r="BG38" s="14">
        <v>1</v>
      </c>
      <c r="BH38" s="14">
        <v>1</v>
      </c>
      <c r="BI38" s="14">
        <v>1</v>
      </c>
      <c r="BJ38" s="14" t="s">
        <v>99</v>
      </c>
      <c r="BK38" s="77"/>
      <c r="BL38" s="75"/>
      <c r="BM38" s="4"/>
      <c r="BN38" s="4"/>
      <c r="BO38" s="4"/>
      <c r="BP38" s="4"/>
    </row>
    <row r="39" spans="1:68" ht="16" x14ac:dyDescent="0.45">
      <c r="A39" s="11">
        <v>682</v>
      </c>
      <c r="B39" t="s">
        <v>171</v>
      </c>
      <c r="D39" s="4">
        <v>1</v>
      </c>
      <c r="E39" s="4" t="s">
        <v>69</v>
      </c>
      <c r="F39" s="4"/>
      <c r="G39" s="4">
        <v>1</v>
      </c>
      <c r="H39" s="4"/>
      <c r="I39" s="4"/>
      <c r="J39" s="55"/>
      <c r="K39" s="56"/>
      <c r="L39" s="4">
        <v>1</v>
      </c>
      <c r="M39" s="4">
        <v>1</v>
      </c>
      <c r="N39" s="4">
        <v>4</v>
      </c>
      <c r="O39" s="4">
        <v>1</v>
      </c>
      <c r="P39" s="4">
        <v>1</v>
      </c>
      <c r="Q39" s="4">
        <v>1</v>
      </c>
      <c r="R39" s="29">
        <v>1</v>
      </c>
      <c r="S39" s="4">
        <v>2002</v>
      </c>
      <c r="T39" s="32"/>
      <c r="U39" s="29">
        <v>1</v>
      </c>
      <c r="V39" s="4"/>
      <c r="W39" s="29"/>
      <c r="X39" s="4" t="s">
        <v>80</v>
      </c>
      <c r="Y39" s="4">
        <v>3</v>
      </c>
      <c r="Z39" s="29" t="s">
        <v>91</v>
      </c>
      <c r="AA39" s="4"/>
      <c r="AB39" s="4" t="s">
        <v>91</v>
      </c>
      <c r="AC39" s="4" t="s">
        <v>91</v>
      </c>
      <c r="AD39" s="23" t="s">
        <v>92</v>
      </c>
      <c r="AE39" s="23" t="s">
        <v>72</v>
      </c>
      <c r="AF39" s="24" t="s">
        <v>111</v>
      </c>
      <c r="AG39" s="4" t="s">
        <v>84</v>
      </c>
      <c r="AH39" s="4">
        <v>3.23</v>
      </c>
      <c r="AI39" s="4" t="s">
        <v>84</v>
      </c>
      <c r="AJ39" s="4">
        <v>3.57</v>
      </c>
      <c r="AK39" s="4" t="s">
        <v>75</v>
      </c>
      <c r="AL39" s="64">
        <v>5.32</v>
      </c>
      <c r="AM39" s="67">
        <v>1.5799999999999983</v>
      </c>
      <c r="AN39" s="13">
        <v>1.5949679190825066</v>
      </c>
      <c r="AO39" s="13">
        <v>21.342391857665433</v>
      </c>
      <c r="AP39" s="14">
        <v>1</v>
      </c>
      <c r="AQ39" s="14">
        <v>1</v>
      </c>
      <c r="AR39" s="13">
        <f>Table1[[#This Row],[Share of Domestic Debt (2023)]]-Table1[[#This Row],[Share of Domestic Debt (2005)]]</f>
        <v>19.747423938582926</v>
      </c>
      <c r="AS39" s="35" t="s">
        <v>94</v>
      </c>
      <c r="AT39" s="4" t="s">
        <v>86</v>
      </c>
      <c r="AU39" s="4">
        <v>0</v>
      </c>
      <c r="AV39" s="4">
        <v>8.4</v>
      </c>
      <c r="AW39" s="4">
        <v>0</v>
      </c>
      <c r="AX39" s="4">
        <v>32.9</v>
      </c>
      <c r="AY39" s="4">
        <v>10.1</v>
      </c>
      <c r="AZ39" s="4">
        <v>0</v>
      </c>
      <c r="BA39" s="4">
        <v>48.6</v>
      </c>
      <c r="BB39" s="34">
        <v>8.6017609909775778</v>
      </c>
      <c r="BC39" s="13">
        <v>11.368153013925683</v>
      </c>
      <c r="BD39" s="13">
        <v>2.4409151355335954</v>
      </c>
      <c r="BE39" s="13">
        <v>4.0522416355203861</v>
      </c>
      <c r="BF39" s="14">
        <v>4</v>
      </c>
      <c r="BG39" s="14">
        <v>2</v>
      </c>
      <c r="BH39" s="14">
        <v>4</v>
      </c>
      <c r="BI39" s="14">
        <v>1</v>
      </c>
      <c r="BJ39" s="14" t="s">
        <v>130</v>
      </c>
      <c r="BK39" s="77"/>
      <c r="BL39" s="75"/>
      <c r="BM39" s="4"/>
      <c r="BN39" s="4"/>
      <c r="BO39" s="4"/>
      <c r="BP39" s="4"/>
    </row>
    <row r="40" spans="1:68" ht="16" x14ac:dyDescent="0.45">
      <c r="A40" s="11">
        <v>868</v>
      </c>
      <c r="B40" t="s">
        <v>172</v>
      </c>
      <c r="D40" s="4"/>
      <c r="E40" s="4" t="s">
        <v>79</v>
      </c>
      <c r="F40" s="4"/>
      <c r="G40" s="4"/>
      <c r="H40" s="4">
        <v>1</v>
      </c>
      <c r="I40" s="4">
        <v>1</v>
      </c>
      <c r="J40" s="55"/>
      <c r="K40" s="56"/>
      <c r="L40" s="4">
        <v>0</v>
      </c>
      <c r="M40" s="4"/>
      <c r="N40" s="4"/>
      <c r="O40" s="4">
        <v>0</v>
      </c>
      <c r="P40" s="4">
        <v>0</v>
      </c>
      <c r="Q40" s="4"/>
      <c r="R40" s="29"/>
      <c r="S40" s="4"/>
      <c r="T40" s="32"/>
      <c r="U40" s="29"/>
      <c r="V40" s="4">
        <v>1</v>
      </c>
      <c r="W40" s="29"/>
      <c r="X40" s="4" t="s">
        <v>80</v>
      </c>
      <c r="Y40" s="4">
        <v>4</v>
      </c>
      <c r="Z40" s="29"/>
      <c r="AA40" s="4"/>
      <c r="AB40" s="4" t="s">
        <v>91</v>
      </c>
      <c r="AC40" s="4" t="s">
        <v>91</v>
      </c>
      <c r="AD40" s="23" t="s">
        <v>158</v>
      </c>
      <c r="AE40" s="23" t="s">
        <v>72</v>
      </c>
      <c r="AF40" s="24" t="s">
        <v>73</v>
      </c>
      <c r="AG40" s="4" t="s">
        <v>74</v>
      </c>
      <c r="AH40" s="4">
        <v>2.69</v>
      </c>
      <c r="AI40" s="4" t="s">
        <v>74</v>
      </c>
      <c r="AJ40" s="4">
        <v>2.78</v>
      </c>
      <c r="AK40" s="4" t="s">
        <v>75</v>
      </c>
      <c r="AL40" s="64">
        <v>2</v>
      </c>
      <c r="AM40" s="67">
        <v>0</v>
      </c>
      <c r="AN40" s="13" t="s">
        <v>76</v>
      </c>
      <c r="AO40" s="13" t="s">
        <v>76</v>
      </c>
      <c r="AP40" s="14" t="s">
        <v>76</v>
      </c>
      <c r="AQ40" s="14" t="s">
        <v>76</v>
      </c>
      <c r="AR40" s="13" t="s">
        <v>76</v>
      </c>
      <c r="AS40" s="35" t="s">
        <v>76</v>
      </c>
      <c r="AT40" s="4" t="s">
        <v>76</v>
      </c>
      <c r="AU40" s="4" t="s">
        <v>76</v>
      </c>
      <c r="AV40" s="4" t="s">
        <v>76</v>
      </c>
      <c r="AW40" s="4" t="s">
        <v>76</v>
      </c>
      <c r="AX40" s="4" t="s">
        <v>76</v>
      </c>
      <c r="AY40" s="4" t="s">
        <v>76</v>
      </c>
      <c r="AZ40" s="4" t="s">
        <v>76</v>
      </c>
      <c r="BA40" s="4" t="s">
        <v>76</v>
      </c>
      <c r="BB40" s="34">
        <v>1.0609932957656105</v>
      </c>
      <c r="BC40" s="13">
        <v>0.3291571349649221</v>
      </c>
      <c r="BD40" s="13">
        <v>0.47313492615315195</v>
      </c>
      <c r="BE40" s="13">
        <v>0.19736137172360968</v>
      </c>
      <c r="BF40" s="14">
        <v>1</v>
      </c>
      <c r="BG40" s="14">
        <v>1</v>
      </c>
      <c r="BH40" s="14">
        <v>1</v>
      </c>
      <c r="BI40" s="14">
        <v>1</v>
      </c>
      <c r="BJ40" s="14" t="s">
        <v>99</v>
      </c>
      <c r="BK40" s="77"/>
      <c r="BL40" s="75"/>
      <c r="BM40" s="4"/>
      <c r="BN40" s="4"/>
      <c r="BO40" s="4"/>
      <c r="BP40" s="4"/>
    </row>
    <row r="41" spans="1:68" ht="16" x14ac:dyDescent="0.45">
      <c r="A41" s="11">
        <v>921</v>
      </c>
      <c r="B41" t="s">
        <v>173</v>
      </c>
      <c r="D41" s="4">
        <v>1</v>
      </c>
      <c r="E41" s="4" t="s">
        <v>174</v>
      </c>
      <c r="F41" s="4"/>
      <c r="G41" s="4"/>
      <c r="H41" s="4"/>
      <c r="I41" s="4"/>
      <c r="J41" s="55"/>
      <c r="K41" s="56"/>
      <c r="L41" s="4">
        <v>1</v>
      </c>
      <c r="M41" s="4">
        <v>1</v>
      </c>
      <c r="N41" s="4">
        <v>4</v>
      </c>
      <c r="O41" s="4">
        <v>1</v>
      </c>
      <c r="P41" s="4">
        <v>1</v>
      </c>
      <c r="Q41" s="4">
        <v>1</v>
      </c>
      <c r="R41" s="29"/>
      <c r="S41" s="4"/>
      <c r="T41" s="32"/>
      <c r="U41" s="29"/>
      <c r="V41" s="4">
        <v>1</v>
      </c>
      <c r="W41" s="29"/>
      <c r="X41" s="4" t="s">
        <v>80</v>
      </c>
      <c r="Y41" s="4">
        <v>4</v>
      </c>
      <c r="Z41" s="29" t="s">
        <v>81</v>
      </c>
      <c r="AA41" s="4"/>
      <c r="AB41" s="4" t="s">
        <v>81</v>
      </c>
      <c r="AC41" s="4" t="s">
        <v>91</v>
      </c>
      <c r="AD41" s="23" t="s">
        <v>92</v>
      </c>
      <c r="AE41" s="23" t="s">
        <v>72</v>
      </c>
      <c r="AF41" s="24" t="s">
        <v>111</v>
      </c>
      <c r="AG41" s="4" t="s">
        <v>84</v>
      </c>
      <c r="AH41" s="4">
        <v>3.82</v>
      </c>
      <c r="AI41" s="4" t="s">
        <v>98</v>
      </c>
      <c r="AJ41" s="4" t="s">
        <v>76</v>
      </c>
      <c r="AK41" s="4" t="s">
        <v>129</v>
      </c>
      <c r="AL41" s="64">
        <v>2</v>
      </c>
      <c r="AM41" s="67">
        <v>0</v>
      </c>
      <c r="AN41" s="13">
        <v>41.165573850326851</v>
      </c>
      <c r="AO41" s="13">
        <v>56.839807306761493</v>
      </c>
      <c r="AP41" s="14">
        <v>4</v>
      </c>
      <c r="AQ41" s="14">
        <v>4</v>
      </c>
      <c r="AR41" s="13">
        <f>Table1[[#This Row],[Share of Domestic Debt (2023)]]-Table1[[#This Row],[Share of Domestic Debt (2005)]]</f>
        <v>15.674233456434642</v>
      </c>
      <c r="AS41" s="35" t="s">
        <v>85</v>
      </c>
      <c r="AT41" s="4" t="s">
        <v>86</v>
      </c>
      <c r="AU41" s="4">
        <v>0</v>
      </c>
      <c r="AV41" s="4">
        <v>0.1</v>
      </c>
      <c r="AW41" s="4">
        <v>1.4</v>
      </c>
      <c r="AX41" s="4">
        <v>14.2</v>
      </c>
      <c r="AY41" s="4">
        <v>48</v>
      </c>
      <c r="AZ41" s="4">
        <v>0</v>
      </c>
      <c r="BA41" s="4">
        <v>36.299999999999997</v>
      </c>
      <c r="BB41" s="34">
        <v>2.8030191125837578</v>
      </c>
      <c r="BC41" s="13">
        <v>3.2406607669421468</v>
      </c>
      <c r="BD41" s="13">
        <v>4.7200200148114257</v>
      </c>
      <c r="BE41" s="13">
        <v>4.9476653204269239</v>
      </c>
      <c r="BF41" s="14">
        <v>2</v>
      </c>
      <c r="BG41" s="14">
        <v>2</v>
      </c>
      <c r="BH41" s="14">
        <v>2</v>
      </c>
      <c r="BI41" s="14">
        <v>2</v>
      </c>
      <c r="BJ41" s="14" t="s">
        <v>100</v>
      </c>
      <c r="BK41" s="77"/>
      <c r="BL41" s="75"/>
      <c r="BM41" s="4"/>
      <c r="BN41" s="4"/>
      <c r="BO41" s="4"/>
      <c r="BP41" s="4"/>
    </row>
    <row r="42" spans="1:68" ht="16" x14ac:dyDescent="0.45">
      <c r="A42" s="11">
        <v>688</v>
      </c>
      <c r="B42" t="s">
        <v>175</v>
      </c>
      <c r="D42" s="4">
        <v>1</v>
      </c>
      <c r="E42" s="4" t="s">
        <v>89</v>
      </c>
      <c r="F42" s="4"/>
      <c r="G42" s="4"/>
      <c r="H42" s="4">
        <v>1</v>
      </c>
      <c r="I42" s="4"/>
      <c r="J42" s="55"/>
      <c r="K42" s="56"/>
      <c r="L42" s="4">
        <v>1</v>
      </c>
      <c r="M42" s="4">
        <v>1</v>
      </c>
      <c r="N42" s="4">
        <v>2</v>
      </c>
      <c r="O42" s="4">
        <v>1</v>
      </c>
      <c r="P42" s="4">
        <v>1</v>
      </c>
      <c r="Q42" s="4"/>
      <c r="R42" s="29">
        <v>1</v>
      </c>
      <c r="S42" s="4" t="s">
        <v>176</v>
      </c>
      <c r="T42" s="32">
        <v>1</v>
      </c>
      <c r="U42" s="29">
        <v>1</v>
      </c>
      <c r="V42" s="4"/>
      <c r="W42" s="29">
        <v>1</v>
      </c>
      <c r="X42" s="4">
        <v>1</v>
      </c>
      <c r="Y42" s="4">
        <v>1</v>
      </c>
      <c r="Z42" s="29" t="s">
        <v>81</v>
      </c>
      <c r="AA42" s="4"/>
      <c r="AB42" s="4" t="s">
        <v>70</v>
      </c>
      <c r="AC42" s="4" t="s">
        <v>70</v>
      </c>
      <c r="AD42" s="23" t="s">
        <v>132</v>
      </c>
      <c r="AE42" s="23" t="s">
        <v>123</v>
      </c>
      <c r="AF42" s="24" t="s">
        <v>111</v>
      </c>
      <c r="AG42" s="4" t="s">
        <v>84</v>
      </c>
      <c r="AH42" s="4">
        <v>3.73</v>
      </c>
      <c r="AI42" s="4" t="s">
        <v>74</v>
      </c>
      <c r="AJ42" s="4">
        <v>3.13</v>
      </c>
      <c r="AK42" s="4" t="s">
        <v>103</v>
      </c>
      <c r="AL42" s="64">
        <v>5.6666666666666661</v>
      </c>
      <c r="AM42" s="67">
        <v>3.2399999999999984</v>
      </c>
      <c r="AN42" s="13">
        <v>33.71977613469916</v>
      </c>
      <c r="AO42" s="13">
        <v>51.593393065087668</v>
      </c>
      <c r="AP42" s="14">
        <v>3</v>
      </c>
      <c r="AQ42" s="14">
        <v>3</v>
      </c>
      <c r="AR42" s="13">
        <f>Table1[[#This Row],[Share of Domestic Debt (2023)]]-Table1[[#This Row],[Share of Domestic Debt (2005)]]</f>
        <v>17.873616930388508</v>
      </c>
      <c r="AS42" s="35" t="s">
        <v>94</v>
      </c>
      <c r="AT42" s="4" t="s">
        <v>86</v>
      </c>
      <c r="AU42" s="4">
        <v>1</v>
      </c>
      <c r="AV42" s="4">
        <v>18.3</v>
      </c>
      <c r="AW42" s="4">
        <v>18.100000000000001</v>
      </c>
      <c r="AX42" s="4">
        <v>20.3</v>
      </c>
      <c r="AY42" s="4">
        <v>29.2</v>
      </c>
      <c r="AZ42" s="4">
        <v>0</v>
      </c>
      <c r="BA42" s="4">
        <v>14.2</v>
      </c>
      <c r="BB42" s="34">
        <v>2.592792571590012</v>
      </c>
      <c r="BC42" s="13">
        <v>4.0886399937843292</v>
      </c>
      <c r="BD42" s="13">
        <v>9.7556693816470865</v>
      </c>
      <c r="BE42" s="13">
        <v>14.629897621943725</v>
      </c>
      <c r="BF42" s="14">
        <v>2</v>
      </c>
      <c r="BG42" s="14">
        <v>4</v>
      </c>
      <c r="BH42" s="14">
        <v>2</v>
      </c>
      <c r="BI42" s="14">
        <v>4</v>
      </c>
      <c r="BJ42" s="14" t="s">
        <v>95</v>
      </c>
      <c r="BK42" s="77"/>
      <c r="BL42" s="75"/>
      <c r="BM42" s="4">
        <v>1</v>
      </c>
      <c r="BN42" s="4">
        <v>1</v>
      </c>
      <c r="BO42" s="4">
        <v>1</v>
      </c>
      <c r="BP42" s="4"/>
    </row>
    <row r="43" spans="1:68" ht="16" x14ac:dyDescent="0.45">
      <c r="A43" s="11">
        <v>518</v>
      </c>
      <c r="B43" t="s">
        <v>177</v>
      </c>
      <c r="D43" s="4">
        <v>1</v>
      </c>
      <c r="E43" s="4" t="s">
        <v>79</v>
      </c>
      <c r="F43" s="4"/>
      <c r="G43" s="4"/>
      <c r="H43" s="4">
        <v>1</v>
      </c>
      <c r="I43" s="4"/>
      <c r="J43" s="55"/>
      <c r="K43" s="56"/>
      <c r="L43" s="4">
        <v>0</v>
      </c>
      <c r="M43" s="4"/>
      <c r="N43" s="4"/>
      <c r="O43" s="4">
        <v>0</v>
      </c>
      <c r="P43" s="4">
        <v>0</v>
      </c>
      <c r="Q43" s="4"/>
      <c r="R43" s="29"/>
      <c r="S43" s="4"/>
      <c r="T43" s="32"/>
      <c r="U43" s="29">
        <v>1</v>
      </c>
      <c r="V43" s="4"/>
      <c r="W43" s="29"/>
      <c r="X43" s="4">
        <v>1</v>
      </c>
      <c r="Y43" s="4">
        <v>1</v>
      </c>
      <c r="Z43" s="29"/>
      <c r="AA43" s="4"/>
      <c r="AB43" s="4" t="s">
        <v>81</v>
      </c>
      <c r="AC43" s="4" t="s">
        <v>81</v>
      </c>
      <c r="AD43" s="23" t="s">
        <v>178</v>
      </c>
      <c r="AE43" s="23" t="s">
        <v>72</v>
      </c>
      <c r="AF43" s="24" t="s">
        <v>83</v>
      </c>
      <c r="AG43" s="4" t="s">
        <v>74</v>
      </c>
      <c r="AH43" s="4" t="s">
        <v>76</v>
      </c>
      <c r="AI43" s="4" t="s">
        <v>84</v>
      </c>
      <c r="AJ43" s="4">
        <v>1.98</v>
      </c>
      <c r="AK43" s="4" t="s">
        <v>129</v>
      </c>
      <c r="AL43" s="64">
        <v>0</v>
      </c>
      <c r="AM43" s="67">
        <v>0.82499999999999574</v>
      </c>
      <c r="AN43" s="13">
        <v>40.069194688804203</v>
      </c>
      <c r="AO43" s="13">
        <v>71.109729863457346</v>
      </c>
      <c r="AP43" s="14">
        <v>4</v>
      </c>
      <c r="AQ43" s="14">
        <v>4</v>
      </c>
      <c r="AR43" s="13">
        <f>Table1[[#This Row],[Share of Domestic Debt (2023)]]-Table1[[#This Row],[Share of Domestic Debt (2005)]]</f>
        <v>31.040535174653144</v>
      </c>
      <c r="AS43" s="35" t="s">
        <v>104</v>
      </c>
      <c r="AT43" s="4" t="s">
        <v>77</v>
      </c>
      <c r="AU43" s="4">
        <v>1</v>
      </c>
      <c r="AV43" s="4">
        <v>33.700000000000003</v>
      </c>
      <c r="AW43" s="4">
        <v>1.6</v>
      </c>
      <c r="AX43" s="4">
        <v>45.7</v>
      </c>
      <c r="AY43" s="4">
        <v>12.4</v>
      </c>
      <c r="AZ43" s="4">
        <v>0</v>
      </c>
      <c r="BA43" s="4">
        <v>6.5</v>
      </c>
      <c r="BB43" s="34">
        <v>3.6875426974732806</v>
      </c>
      <c r="BC43" s="13">
        <v>10.613316613109218</v>
      </c>
      <c r="BD43" s="13">
        <v>19.013946065779699</v>
      </c>
      <c r="BE43" s="13">
        <v>15.873600808088497</v>
      </c>
      <c r="BF43" s="14">
        <v>3</v>
      </c>
      <c r="BG43" s="14">
        <v>4</v>
      </c>
      <c r="BH43" s="14">
        <v>2</v>
      </c>
      <c r="BI43" s="14">
        <v>4</v>
      </c>
      <c r="BJ43" s="14" t="s">
        <v>95</v>
      </c>
      <c r="BK43" s="77"/>
      <c r="BL43" s="75"/>
      <c r="BM43" s="4"/>
      <c r="BN43" s="4"/>
      <c r="BO43" s="4"/>
      <c r="BP43" s="4"/>
    </row>
    <row r="44" spans="1:68" ht="16" x14ac:dyDescent="0.45">
      <c r="A44" s="11">
        <v>558</v>
      </c>
      <c r="B44" t="s">
        <v>179</v>
      </c>
      <c r="D44" s="4">
        <v>1</v>
      </c>
      <c r="E44" s="4" t="s">
        <v>79</v>
      </c>
      <c r="F44" s="4"/>
      <c r="G44" s="4"/>
      <c r="H44" s="4"/>
      <c r="I44" s="4"/>
      <c r="J44" s="55"/>
      <c r="K44" s="56"/>
      <c r="L44" s="4">
        <v>1</v>
      </c>
      <c r="M44" s="4">
        <v>1</v>
      </c>
      <c r="N44" s="4">
        <v>1</v>
      </c>
      <c r="O44" s="4">
        <v>0</v>
      </c>
      <c r="P44" s="4">
        <v>0</v>
      </c>
      <c r="Q44" s="4"/>
      <c r="R44" s="29"/>
      <c r="S44" s="4"/>
      <c r="T44" s="32"/>
      <c r="U44" s="29">
        <v>1</v>
      </c>
      <c r="V44" s="4"/>
      <c r="W44" s="29"/>
      <c r="X44" s="4">
        <v>1</v>
      </c>
      <c r="Y44" s="4">
        <v>2</v>
      </c>
      <c r="Z44" s="29" t="s">
        <v>70</v>
      </c>
      <c r="AA44" s="4"/>
      <c r="AB44" s="4" t="s">
        <v>81</v>
      </c>
      <c r="AC44" s="4" t="s">
        <v>81</v>
      </c>
      <c r="AD44" s="23" t="s">
        <v>132</v>
      </c>
      <c r="AE44" s="23" t="s">
        <v>72</v>
      </c>
      <c r="AF44" s="24" t="s">
        <v>115</v>
      </c>
      <c r="AG44" s="4" t="s">
        <v>84</v>
      </c>
      <c r="AH44" s="4">
        <v>3.27</v>
      </c>
      <c r="AI44" s="4" t="s">
        <v>98</v>
      </c>
      <c r="AJ44" s="4">
        <v>3.37</v>
      </c>
      <c r="AK44" s="4" t="s">
        <v>129</v>
      </c>
      <c r="AL44" s="64">
        <v>1.6</v>
      </c>
      <c r="AM44" s="67">
        <v>2.3700000000000045</v>
      </c>
      <c r="AN44" s="13">
        <v>27.592201119345191</v>
      </c>
      <c r="AO44" s="13">
        <v>55.037349173929961</v>
      </c>
      <c r="AP44" s="14">
        <v>3</v>
      </c>
      <c r="AQ44" s="14">
        <v>3</v>
      </c>
      <c r="AR44" s="13">
        <f>Table1[[#This Row],[Share of Domestic Debt (2023)]]-Table1[[#This Row],[Share of Domestic Debt (2005)]]</f>
        <v>27.44514805458477</v>
      </c>
      <c r="AS44" s="35" t="s">
        <v>94</v>
      </c>
      <c r="AT44" s="4" t="s">
        <v>86</v>
      </c>
      <c r="AU44" s="4">
        <v>0</v>
      </c>
      <c r="AV44" s="4">
        <v>2.8</v>
      </c>
      <c r="AW44" s="4">
        <v>0</v>
      </c>
      <c r="AX44" s="4">
        <v>8.3000000000000007</v>
      </c>
      <c r="AY44" s="4">
        <v>48.6</v>
      </c>
      <c r="AZ44" s="4">
        <v>0</v>
      </c>
      <c r="BA44" s="4">
        <v>40.200000000000003</v>
      </c>
      <c r="BB44" s="34">
        <v>7.0922173133264863</v>
      </c>
      <c r="BC44" s="13">
        <v>7.5230581403611207</v>
      </c>
      <c r="BD44" s="13">
        <v>22.694186830841968</v>
      </c>
      <c r="BE44" s="13">
        <v>8.8370542567442989</v>
      </c>
      <c r="BF44" s="14">
        <v>3</v>
      </c>
      <c r="BG44" s="14">
        <v>3</v>
      </c>
      <c r="BH44" s="14">
        <v>3</v>
      </c>
      <c r="BI44" s="14">
        <v>4</v>
      </c>
      <c r="BJ44" s="14" t="s">
        <v>95</v>
      </c>
      <c r="BK44" s="77" t="s">
        <v>144</v>
      </c>
      <c r="BL44" s="75"/>
      <c r="BM44" s="4"/>
      <c r="BN44" s="4"/>
      <c r="BO44" s="4"/>
      <c r="BP44" s="4"/>
    </row>
    <row r="45" spans="1:68" ht="16" x14ac:dyDescent="0.45">
      <c r="A45" s="11">
        <v>278</v>
      </c>
      <c r="B45" t="s">
        <v>180</v>
      </c>
      <c r="D45" s="4">
        <v>1</v>
      </c>
      <c r="E45" s="4" t="s">
        <v>138</v>
      </c>
      <c r="F45" s="4"/>
      <c r="G45" s="4"/>
      <c r="H45" s="4"/>
      <c r="I45" s="4"/>
      <c r="J45" s="55"/>
      <c r="K45" s="56"/>
      <c r="L45" s="4">
        <v>1</v>
      </c>
      <c r="M45" s="4"/>
      <c r="N45" s="4">
        <v>1</v>
      </c>
      <c r="O45" s="4">
        <v>0</v>
      </c>
      <c r="P45" s="4">
        <v>0</v>
      </c>
      <c r="Q45" s="4"/>
      <c r="R45" s="29">
        <v>1</v>
      </c>
      <c r="S45" s="4">
        <v>2004</v>
      </c>
      <c r="T45" s="32"/>
      <c r="U45" s="29"/>
      <c r="V45" s="4">
        <v>1</v>
      </c>
      <c r="W45" s="29"/>
      <c r="X45" s="4" t="s">
        <v>80</v>
      </c>
      <c r="Y45" s="4">
        <v>3</v>
      </c>
      <c r="Z45" s="29" t="s">
        <v>91</v>
      </c>
      <c r="AA45" s="4"/>
      <c r="AB45" s="4" t="s">
        <v>91</v>
      </c>
      <c r="AC45" s="4" t="s">
        <v>91</v>
      </c>
      <c r="AD45" s="23" t="s">
        <v>181</v>
      </c>
      <c r="AE45" s="23" t="s">
        <v>72</v>
      </c>
      <c r="AF45" s="24" t="s">
        <v>93</v>
      </c>
      <c r="AG45" s="4" t="s">
        <v>84</v>
      </c>
      <c r="AH45" s="4">
        <v>3.71</v>
      </c>
      <c r="AI45" s="4" t="s">
        <v>84</v>
      </c>
      <c r="AJ45" s="4">
        <v>3.23</v>
      </c>
      <c r="AK45" s="4" t="s">
        <v>75</v>
      </c>
      <c r="AL45" s="64">
        <v>1.5</v>
      </c>
      <c r="AM45" s="67">
        <v>1.5</v>
      </c>
      <c r="AN45" s="13">
        <v>3.8571151720413184</v>
      </c>
      <c r="AO45" s="13">
        <v>4.3042439322716319</v>
      </c>
      <c r="AP45" s="14">
        <v>1</v>
      </c>
      <c r="AQ45" s="14">
        <v>1</v>
      </c>
      <c r="AR45" s="13">
        <f>Table1[[#This Row],[Share of Domestic Debt (2023)]]-Table1[[#This Row],[Share of Domestic Debt (2005)]]</f>
        <v>0.44712876023031356</v>
      </c>
      <c r="AS45" s="35" t="s">
        <v>99</v>
      </c>
      <c r="AT45" s="4" t="s">
        <v>86</v>
      </c>
      <c r="AU45" s="4">
        <v>0</v>
      </c>
      <c r="AV45" s="4">
        <v>0.4</v>
      </c>
      <c r="AW45" s="4">
        <v>0.3</v>
      </c>
      <c r="AX45" s="4">
        <v>22.2</v>
      </c>
      <c r="AY45" s="4">
        <v>13.1</v>
      </c>
      <c r="AZ45" s="4">
        <v>0</v>
      </c>
      <c r="BA45" s="4">
        <v>64.099999999999994</v>
      </c>
      <c r="BB45" s="34">
        <v>6.6386530474102008</v>
      </c>
      <c r="BC45" s="13">
        <v>6.4481822502495527</v>
      </c>
      <c r="BD45" s="13">
        <v>4.1258879058311555</v>
      </c>
      <c r="BE45" s="13">
        <v>6.1752603503472763</v>
      </c>
      <c r="BF45" s="14">
        <v>3</v>
      </c>
      <c r="BG45" s="14">
        <v>2</v>
      </c>
      <c r="BH45" s="14">
        <v>3</v>
      </c>
      <c r="BI45" s="14">
        <v>2</v>
      </c>
      <c r="BJ45" s="14" t="s">
        <v>130</v>
      </c>
      <c r="BK45" s="77"/>
      <c r="BL45" s="75"/>
      <c r="BM45" s="4"/>
      <c r="BN45" s="4">
        <v>1</v>
      </c>
      <c r="BO45" s="4"/>
      <c r="BP45" s="4"/>
    </row>
    <row r="46" spans="1:68" ht="16" x14ac:dyDescent="0.45">
      <c r="A46" s="11">
        <v>692</v>
      </c>
      <c r="B46" t="s">
        <v>182</v>
      </c>
      <c r="D46" s="4">
        <v>1</v>
      </c>
      <c r="E46" s="4" t="s">
        <v>89</v>
      </c>
      <c r="F46" s="4" t="s">
        <v>90</v>
      </c>
      <c r="G46" s="4"/>
      <c r="H46" s="4">
        <v>1</v>
      </c>
      <c r="I46" s="4"/>
      <c r="J46" s="55">
        <v>1</v>
      </c>
      <c r="K46" s="56">
        <v>1</v>
      </c>
      <c r="L46" s="4">
        <v>1</v>
      </c>
      <c r="M46" s="4">
        <v>1</v>
      </c>
      <c r="N46" s="4">
        <v>5</v>
      </c>
      <c r="O46" s="4">
        <v>1</v>
      </c>
      <c r="P46" s="4">
        <v>1</v>
      </c>
      <c r="Q46" s="4">
        <v>1</v>
      </c>
      <c r="R46" s="29">
        <v>1</v>
      </c>
      <c r="S46" s="4">
        <v>2003</v>
      </c>
      <c r="T46" s="32"/>
      <c r="U46" s="29">
        <v>1</v>
      </c>
      <c r="V46" s="4"/>
      <c r="W46" s="29"/>
      <c r="X46" s="4">
        <v>1</v>
      </c>
      <c r="Y46" s="4">
        <v>1</v>
      </c>
      <c r="Z46" s="29" t="s">
        <v>70</v>
      </c>
      <c r="AA46" s="4"/>
      <c r="AB46" s="4" t="s">
        <v>91</v>
      </c>
      <c r="AC46" s="4" t="s">
        <v>91</v>
      </c>
      <c r="AD46" s="23" t="s">
        <v>132</v>
      </c>
      <c r="AE46" s="23" t="s">
        <v>72</v>
      </c>
      <c r="AF46" s="24" t="s">
        <v>115</v>
      </c>
      <c r="AG46" s="4" t="s">
        <v>84</v>
      </c>
      <c r="AH46" s="4">
        <v>3.48</v>
      </c>
      <c r="AI46" s="4" t="s">
        <v>84</v>
      </c>
      <c r="AJ46" s="4">
        <v>3.36</v>
      </c>
      <c r="AK46" s="4" t="s">
        <v>75</v>
      </c>
      <c r="AL46" s="64">
        <v>2</v>
      </c>
      <c r="AM46" s="67">
        <v>0</v>
      </c>
      <c r="AN46" s="13">
        <v>15.125270460633629</v>
      </c>
      <c r="AO46" s="13">
        <v>49.569727777220521</v>
      </c>
      <c r="AP46" s="14">
        <v>2</v>
      </c>
      <c r="AQ46" s="14">
        <v>3</v>
      </c>
      <c r="AR46" s="13">
        <f>Table1[[#This Row],[Share of Domestic Debt (2023)]]-Table1[[#This Row],[Share of Domestic Debt (2005)]]</f>
        <v>34.444457316586892</v>
      </c>
      <c r="AS46" s="35" t="s">
        <v>104</v>
      </c>
      <c r="AT46" s="4" t="s">
        <v>86</v>
      </c>
      <c r="AU46" s="4">
        <v>1</v>
      </c>
      <c r="AV46" s="4">
        <v>10.5</v>
      </c>
      <c r="AW46" s="4">
        <v>1.8</v>
      </c>
      <c r="AX46" s="4">
        <v>12.2</v>
      </c>
      <c r="AY46" s="4">
        <v>40.299999999999997</v>
      </c>
      <c r="AZ46" s="4">
        <v>0</v>
      </c>
      <c r="BA46" s="4">
        <v>35.200000000000003</v>
      </c>
      <c r="BB46" s="34">
        <v>3.0417812578812717</v>
      </c>
      <c r="BC46" s="13">
        <v>3.1354004512213618</v>
      </c>
      <c r="BD46" s="13">
        <v>8.6216496071261979</v>
      </c>
      <c r="BE46" s="13">
        <v>12.461026722278143</v>
      </c>
      <c r="BF46" s="14">
        <v>1</v>
      </c>
      <c r="BG46" s="14">
        <v>3</v>
      </c>
      <c r="BH46" s="14">
        <v>2</v>
      </c>
      <c r="BI46" s="14">
        <v>3</v>
      </c>
      <c r="BJ46" s="14" t="s">
        <v>95</v>
      </c>
      <c r="BK46" s="77"/>
      <c r="BL46" s="75"/>
      <c r="BM46" s="4"/>
      <c r="BN46" s="4"/>
      <c r="BO46" s="4"/>
      <c r="BP46" s="4"/>
    </row>
    <row r="47" spans="1:68" ht="16" x14ac:dyDescent="0.45">
      <c r="A47" s="11">
        <v>853</v>
      </c>
      <c r="B47" t="s">
        <v>183</v>
      </c>
      <c r="D47" s="4">
        <v>1</v>
      </c>
      <c r="E47" s="4" t="s">
        <v>79</v>
      </c>
      <c r="F47" s="4"/>
      <c r="G47" s="4">
        <v>1</v>
      </c>
      <c r="H47" s="4">
        <v>1</v>
      </c>
      <c r="I47" s="4"/>
      <c r="J47" s="55"/>
      <c r="K47" s="56"/>
      <c r="L47" s="4">
        <v>1</v>
      </c>
      <c r="M47" s="4">
        <v>1</v>
      </c>
      <c r="N47" s="4">
        <v>1</v>
      </c>
      <c r="O47" s="4">
        <v>0</v>
      </c>
      <c r="P47" s="4">
        <v>0</v>
      </c>
      <c r="Q47" s="4">
        <v>1</v>
      </c>
      <c r="R47" s="29"/>
      <c r="S47" s="4"/>
      <c r="T47" s="32"/>
      <c r="U47" s="29">
        <v>1</v>
      </c>
      <c r="V47" s="4"/>
      <c r="W47" s="29">
        <v>1</v>
      </c>
      <c r="X47" s="4" t="s">
        <v>80</v>
      </c>
      <c r="Y47" s="4">
        <v>3</v>
      </c>
      <c r="Z47" s="29" t="s">
        <v>91</v>
      </c>
      <c r="AA47" s="4"/>
      <c r="AB47" s="4" t="s">
        <v>70</v>
      </c>
      <c r="AC47" s="4" t="s">
        <v>70</v>
      </c>
      <c r="AD47" s="23" t="s">
        <v>92</v>
      </c>
      <c r="AE47" s="23" t="s">
        <v>72</v>
      </c>
      <c r="AF47" s="24" t="s">
        <v>111</v>
      </c>
      <c r="AG47" s="4" t="s">
        <v>84</v>
      </c>
      <c r="AH47" s="4">
        <v>3.3</v>
      </c>
      <c r="AI47" s="4" t="s">
        <v>74</v>
      </c>
      <c r="AJ47" s="4">
        <v>2.85</v>
      </c>
      <c r="AK47" s="4" t="s">
        <v>103</v>
      </c>
      <c r="AL47" s="64">
        <v>8</v>
      </c>
      <c r="AM47" s="67">
        <v>0</v>
      </c>
      <c r="AN47" s="13">
        <v>45.533832226826952</v>
      </c>
      <c r="AO47" s="13">
        <v>54.098568581285264</v>
      </c>
      <c r="AP47" s="14">
        <v>4</v>
      </c>
      <c r="AQ47" s="14">
        <v>3</v>
      </c>
      <c r="AR47" s="13">
        <f>Table1[[#This Row],[Share of Domestic Debt (2023)]]-Table1[[#This Row],[Share of Domestic Debt (2005)]]</f>
        <v>8.5647363544583115</v>
      </c>
      <c r="AS47" s="35" t="s">
        <v>85</v>
      </c>
      <c r="AT47" s="4" t="s">
        <v>86</v>
      </c>
      <c r="AU47" s="4">
        <v>1</v>
      </c>
      <c r="AV47" s="4">
        <v>18.899999999999999</v>
      </c>
      <c r="AW47" s="4">
        <v>12.8</v>
      </c>
      <c r="AX47" s="4">
        <v>13.9</v>
      </c>
      <c r="AY47" s="4">
        <v>11.9</v>
      </c>
      <c r="AZ47" s="4">
        <v>0</v>
      </c>
      <c r="BA47" s="4">
        <v>42.4</v>
      </c>
      <c r="BB47" s="34">
        <v>3.1310306979317444</v>
      </c>
      <c r="BC47" s="13">
        <v>6.5025991297183907</v>
      </c>
      <c r="BD47" s="13">
        <v>5.5928320843563109</v>
      </c>
      <c r="BE47" s="13">
        <v>14.494595682825562</v>
      </c>
      <c r="BF47" s="14">
        <v>3</v>
      </c>
      <c r="BG47" s="14">
        <v>3</v>
      </c>
      <c r="BH47" s="14">
        <v>2</v>
      </c>
      <c r="BI47" s="14">
        <v>2</v>
      </c>
      <c r="BJ47" s="14" t="s">
        <v>113</v>
      </c>
      <c r="BK47" s="77"/>
      <c r="BL47" s="75"/>
      <c r="BM47" s="4"/>
      <c r="BN47" s="4"/>
      <c r="BO47" s="4"/>
      <c r="BP47" s="4"/>
    </row>
    <row r="48" spans="1:68" ht="16" x14ac:dyDescent="0.45">
      <c r="A48" s="11">
        <v>714</v>
      </c>
      <c r="B48" t="s">
        <v>184</v>
      </c>
      <c r="D48" s="4">
        <v>1</v>
      </c>
      <c r="E48" s="4" t="s">
        <v>89</v>
      </c>
      <c r="F48" s="4" t="s">
        <v>107</v>
      </c>
      <c r="G48" s="4"/>
      <c r="H48" s="4"/>
      <c r="I48" s="4"/>
      <c r="J48" s="55">
        <v>1</v>
      </c>
      <c r="K48" s="56">
        <v>1</v>
      </c>
      <c r="L48" s="4">
        <v>1</v>
      </c>
      <c r="M48" s="4"/>
      <c r="N48" s="4">
        <v>3</v>
      </c>
      <c r="O48" s="4">
        <v>1</v>
      </c>
      <c r="P48" s="4">
        <v>1</v>
      </c>
      <c r="Q48" s="4"/>
      <c r="R48" s="29">
        <v>1</v>
      </c>
      <c r="S48" s="4">
        <v>2005</v>
      </c>
      <c r="T48" s="32"/>
      <c r="U48" s="29"/>
      <c r="V48" s="4">
        <v>1</v>
      </c>
      <c r="W48" s="29">
        <v>1</v>
      </c>
      <c r="X48" s="4">
        <v>1</v>
      </c>
      <c r="Y48" s="4">
        <v>1</v>
      </c>
      <c r="Z48" s="29" t="s">
        <v>70</v>
      </c>
      <c r="AA48" s="4"/>
      <c r="AB48" s="4" t="s">
        <v>91</v>
      </c>
      <c r="AC48" s="4" t="s">
        <v>91</v>
      </c>
      <c r="AD48" s="23" t="s">
        <v>110</v>
      </c>
      <c r="AE48" s="23" t="s">
        <v>72</v>
      </c>
      <c r="AF48" s="24" t="s">
        <v>185</v>
      </c>
      <c r="AG48" s="4" t="s">
        <v>84</v>
      </c>
      <c r="AH48" s="4">
        <v>3.84</v>
      </c>
      <c r="AI48" s="4" t="s">
        <v>98</v>
      </c>
      <c r="AJ48" s="4">
        <v>4.12</v>
      </c>
      <c r="AK48" s="4" t="s">
        <v>129</v>
      </c>
      <c r="AL48" s="64">
        <v>0.75</v>
      </c>
      <c r="AM48" s="67">
        <v>0.32500000000000284</v>
      </c>
      <c r="AN48" s="13">
        <v>18.820008223482091</v>
      </c>
      <c r="AO48" s="13">
        <v>13.326125035451469</v>
      </c>
      <c r="AP48" s="14">
        <v>2</v>
      </c>
      <c r="AQ48" s="14">
        <v>1</v>
      </c>
      <c r="AR48" s="13">
        <f>Table1[[#This Row],[Share of Domestic Debt (2023)]]-Table1[[#This Row],[Share of Domestic Debt (2005)]]</f>
        <v>-5.4938831880306225</v>
      </c>
      <c r="AS48" s="35" t="s">
        <v>112</v>
      </c>
      <c r="AT48" s="4" t="s">
        <v>86</v>
      </c>
      <c r="AU48" s="4">
        <v>0</v>
      </c>
      <c r="AV48" s="4">
        <v>5.3</v>
      </c>
      <c r="AW48" s="4">
        <v>16.7</v>
      </c>
      <c r="AX48" s="4">
        <v>7.9</v>
      </c>
      <c r="AY48" s="4">
        <v>44.9</v>
      </c>
      <c r="AZ48" s="4">
        <v>0.2</v>
      </c>
      <c r="BA48" s="4">
        <v>25</v>
      </c>
      <c r="BB48" s="34">
        <v>6.2758801454497029</v>
      </c>
      <c r="BC48" s="13">
        <v>3.3080730570540728</v>
      </c>
      <c r="BD48" s="13">
        <v>8.9603904101591283</v>
      </c>
      <c r="BE48" s="13">
        <v>11.233015720192572</v>
      </c>
      <c r="BF48" s="14">
        <v>2</v>
      </c>
      <c r="BG48" s="14">
        <v>3</v>
      </c>
      <c r="BH48" s="14">
        <v>3</v>
      </c>
      <c r="BI48" s="14">
        <v>3</v>
      </c>
      <c r="BJ48" s="14" t="s">
        <v>113</v>
      </c>
      <c r="BK48" s="77"/>
      <c r="BL48" s="75"/>
      <c r="BM48" s="4"/>
      <c r="BN48" s="4"/>
      <c r="BO48" s="4"/>
      <c r="BP48" s="4"/>
    </row>
    <row r="49" spans="1:68" ht="16" x14ac:dyDescent="0.45">
      <c r="A49" s="11">
        <v>862</v>
      </c>
      <c r="B49" t="s">
        <v>186</v>
      </c>
      <c r="D49" s="4"/>
      <c r="E49" s="4" t="s">
        <v>79</v>
      </c>
      <c r="F49" s="4"/>
      <c r="G49" s="4"/>
      <c r="H49" s="4"/>
      <c r="I49" s="4">
        <v>1</v>
      </c>
      <c r="J49" s="55"/>
      <c r="K49" s="56"/>
      <c r="L49" s="4">
        <v>0</v>
      </c>
      <c r="M49" s="4"/>
      <c r="N49" s="4"/>
      <c r="O49" s="4">
        <v>0</v>
      </c>
      <c r="P49" s="4">
        <v>0</v>
      </c>
      <c r="Q49" s="4"/>
      <c r="R49" s="29"/>
      <c r="S49" s="4"/>
      <c r="T49" s="32"/>
      <c r="U49" s="29">
        <v>1</v>
      </c>
      <c r="V49" s="4"/>
      <c r="W49" s="29"/>
      <c r="X49" s="4" t="s">
        <v>126</v>
      </c>
      <c r="Y49" s="4">
        <v>4</v>
      </c>
      <c r="Z49" s="29" t="s">
        <v>81</v>
      </c>
      <c r="AA49" s="4"/>
      <c r="AB49" s="4" t="s">
        <v>91</v>
      </c>
      <c r="AC49" s="4" t="s">
        <v>91</v>
      </c>
      <c r="AD49" s="23" t="s">
        <v>92</v>
      </c>
      <c r="AE49" s="23" t="s">
        <v>72</v>
      </c>
      <c r="AF49" s="24" t="s">
        <v>111</v>
      </c>
      <c r="AG49" s="4" t="s">
        <v>98</v>
      </c>
      <c r="AH49" s="4">
        <v>4.0599999999999996</v>
      </c>
      <c r="AI49" s="4" t="s">
        <v>98</v>
      </c>
      <c r="AJ49" s="4">
        <v>3.96</v>
      </c>
      <c r="AK49" s="4" t="s">
        <v>75</v>
      </c>
      <c r="AL49" s="64">
        <v>2</v>
      </c>
      <c r="AM49" s="67">
        <v>0</v>
      </c>
      <c r="AN49" s="13">
        <v>0</v>
      </c>
      <c r="AO49" s="13">
        <v>4.4182767561836158</v>
      </c>
      <c r="AP49" s="14">
        <v>1</v>
      </c>
      <c r="AQ49" s="14">
        <v>1</v>
      </c>
      <c r="AR49" s="13">
        <f>Table1[[#This Row],[Share of Domestic Debt (2023)]]-Table1[[#This Row],[Share of Domestic Debt (2005)]]</f>
        <v>4.4182767561836158</v>
      </c>
      <c r="AS49" s="35" t="s">
        <v>99</v>
      </c>
      <c r="AT49" s="4" t="s">
        <v>86</v>
      </c>
      <c r="AU49" s="4">
        <v>1</v>
      </c>
      <c r="AV49" s="4">
        <v>39.9</v>
      </c>
      <c r="AW49" s="4">
        <v>0</v>
      </c>
      <c r="AX49" s="4">
        <v>7.7</v>
      </c>
      <c r="AY49" s="4">
        <v>27</v>
      </c>
      <c r="AZ49" s="4">
        <v>0</v>
      </c>
      <c r="BA49" s="4">
        <v>25.5</v>
      </c>
      <c r="BB49" s="34" t="s">
        <v>76</v>
      </c>
      <c r="BC49" s="13" t="s">
        <v>76</v>
      </c>
      <c r="BD49" s="13" t="s">
        <v>76</v>
      </c>
      <c r="BE49" s="13" t="s">
        <v>76</v>
      </c>
      <c r="BF49" s="14" t="s">
        <v>76</v>
      </c>
      <c r="BG49" s="14" t="s">
        <v>76</v>
      </c>
      <c r="BH49" s="14" t="s">
        <v>76</v>
      </c>
      <c r="BI49" s="14" t="s">
        <v>76</v>
      </c>
      <c r="BJ49" s="14" t="s">
        <v>76</v>
      </c>
      <c r="BK49" s="77"/>
      <c r="BL49" s="75"/>
      <c r="BM49" s="4"/>
      <c r="BN49" s="4"/>
      <c r="BO49" s="4"/>
      <c r="BP49" s="4"/>
    </row>
    <row r="50" spans="1:68" ht="16" x14ac:dyDescent="0.45">
      <c r="A50" s="11">
        <v>716</v>
      </c>
      <c r="B50" t="s">
        <v>187</v>
      </c>
      <c r="D50" s="4">
        <v>1</v>
      </c>
      <c r="E50" s="4" t="s">
        <v>89</v>
      </c>
      <c r="F50" s="4"/>
      <c r="G50" s="4"/>
      <c r="H50" s="4">
        <v>1</v>
      </c>
      <c r="I50" s="4">
        <v>1</v>
      </c>
      <c r="J50" s="55"/>
      <c r="K50" s="56"/>
      <c r="L50" s="4">
        <v>1</v>
      </c>
      <c r="M50" s="4">
        <v>1</v>
      </c>
      <c r="N50" s="4">
        <v>6</v>
      </c>
      <c r="O50" s="4">
        <v>1</v>
      </c>
      <c r="P50" s="4">
        <v>1</v>
      </c>
      <c r="Q50" s="4"/>
      <c r="R50" s="29">
        <v>1</v>
      </c>
      <c r="S50" s="4">
        <v>2007</v>
      </c>
      <c r="T50" s="32"/>
      <c r="U50" s="29">
        <v>1</v>
      </c>
      <c r="V50" s="4"/>
      <c r="W50" s="29"/>
      <c r="X50" s="4" t="s">
        <v>126</v>
      </c>
      <c r="Y50" s="4">
        <v>3</v>
      </c>
      <c r="Z50" s="29" t="s">
        <v>70</v>
      </c>
      <c r="AA50" s="4" t="s">
        <v>91</v>
      </c>
      <c r="AB50" s="4" t="s">
        <v>127</v>
      </c>
      <c r="AC50" s="4" t="s">
        <v>127</v>
      </c>
      <c r="AD50" s="23" t="s">
        <v>92</v>
      </c>
      <c r="AE50" s="23" t="s">
        <v>123</v>
      </c>
      <c r="AF50" s="24" t="s">
        <v>111</v>
      </c>
      <c r="AG50" s="4" t="s">
        <v>74</v>
      </c>
      <c r="AH50" s="4">
        <v>3.05</v>
      </c>
      <c r="AI50" s="4" t="s">
        <v>74</v>
      </c>
      <c r="AJ50" s="4">
        <v>2.93</v>
      </c>
      <c r="AK50" s="4" t="s">
        <v>75</v>
      </c>
      <c r="AL50" s="64">
        <v>1.7142857142857144</v>
      </c>
      <c r="AM50" s="67">
        <v>0</v>
      </c>
      <c r="AN50" s="13">
        <v>14.315261019491004</v>
      </c>
      <c r="AO50" s="13">
        <v>0</v>
      </c>
      <c r="AP50" s="14">
        <v>1</v>
      </c>
      <c r="AQ50" s="14">
        <v>1</v>
      </c>
      <c r="AR50" s="13">
        <f>Table1[[#This Row],[Share of Domestic Debt (2023)]]-Table1[[#This Row],[Share of Domestic Debt (2005)]]</f>
        <v>-14.315261019491004</v>
      </c>
      <c r="AS50" s="35" t="s">
        <v>112</v>
      </c>
      <c r="AT50" s="4" t="s">
        <v>77</v>
      </c>
      <c r="AU50" s="4">
        <v>0</v>
      </c>
      <c r="AV50" s="4">
        <v>3.3</v>
      </c>
      <c r="AW50" s="4">
        <v>3.5</v>
      </c>
      <c r="AX50" s="4">
        <v>73.7</v>
      </c>
      <c r="AY50" s="4">
        <v>4.5999999999999996</v>
      </c>
      <c r="AZ50" s="4">
        <v>0.3</v>
      </c>
      <c r="BA50" s="4">
        <v>14.4</v>
      </c>
      <c r="BB50" s="34">
        <v>20.036670519540106</v>
      </c>
      <c r="BC50" s="13">
        <v>3.6220910795569177</v>
      </c>
      <c r="BD50" s="13">
        <v>5.8729805990901456</v>
      </c>
      <c r="BE50" s="13">
        <v>4.0824422960704601</v>
      </c>
      <c r="BF50" s="14">
        <v>2</v>
      </c>
      <c r="BG50" s="14">
        <v>2</v>
      </c>
      <c r="BH50" s="14">
        <v>4</v>
      </c>
      <c r="BI50" s="14">
        <v>3</v>
      </c>
      <c r="BJ50" s="14" t="s">
        <v>130</v>
      </c>
      <c r="BK50" s="77"/>
      <c r="BL50" s="75"/>
      <c r="BM50" s="4"/>
      <c r="BN50" s="4"/>
      <c r="BO50" s="4"/>
      <c r="BP50" s="4"/>
    </row>
    <row r="51" spans="1:68" ht="16" x14ac:dyDescent="0.45">
      <c r="A51" s="11">
        <v>722</v>
      </c>
      <c r="B51" t="s">
        <v>188</v>
      </c>
      <c r="D51" s="4">
        <v>1</v>
      </c>
      <c r="E51" s="4" t="s">
        <v>89</v>
      </c>
      <c r="F51" s="4" t="s">
        <v>90</v>
      </c>
      <c r="G51" s="4"/>
      <c r="H51" s="4"/>
      <c r="I51" s="4"/>
      <c r="J51" s="55">
        <v>1</v>
      </c>
      <c r="K51" s="56">
        <v>1</v>
      </c>
      <c r="L51" s="4">
        <v>1</v>
      </c>
      <c r="M51" s="4">
        <v>1</v>
      </c>
      <c r="N51" s="4">
        <v>2</v>
      </c>
      <c r="O51" s="4">
        <v>1</v>
      </c>
      <c r="P51" s="4">
        <v>0</v>
      </c>
      <c r="Q51" s="4">
        <v>1</v>
      </c>
      <c r="R51" s="29">
        <v>1</v>
      </c>
      <c r="S51" s="4">
        <v>2004</v>
      </c>
      <c r="T51" s="32"/>
      <c r="U51" s="29">
        <v>1</v>
      </c>
      <c r="V51" s="4"/>
      <c r="W51" s="29">
        <v>1</v>
      </c>
      <c r="X51" s="4" t="s">
        <v>80</v>
      </c>
      <c r="Y51" s="4">
        <v>2</v>
      </c>
      <c r="Z51" s="29" t="s">
        <v>81</v>
      </c>
      <c r="AA51" s="4"/>
      <c r="AB51" s="4" t="s">
        <v>91</v>
      </c>
      <c r="AC51" s="4" t="s">
        <v>91</v>
      </c>
      <c r="AD51" s="23" t="s">
        <v>108</v>
      </c>
      <c r="AE51" s="23" t="s">
        <v>72</v>
      </c>
      <c r="AF51" s="24" t="s">
        <v>111</v>
      </c>
      <c r="AG51" s="4" t="s">
        <v>84</v>
      </c>
      <c r="AH51" s="4">
        <v>3.82</v>
      </c>
      <c r="AI51" s="4" t="s">
        <v>98</v>
      </c>
      <c r="AJ51" s="4">
        <v>3.7</v>
      </c>
      <c r="AK51" s="4" t="s">
        <v>129</v>
      </c>
      <c r="AL51" s="64">
        <v>0</v>
      </c>
      <c r="AM51" s="67">
        <v>2.1000000000000014</v>
      </c>
      <c r="AN51" s="13">
        <v>7.6299785291834752</v>
      </c>
      <c r="AO51" s="13">
        <v>33.234759835651332</v>
      </c>
      <c r="AP51" s="14">
        <v>1</v>
      </c>
      <c r="AQ51" s="14">
        <v>2</v>
      </c>
      <c r="AR51" s="13">
        <f>Table1[[#This Row],[Share of Domestic Debt (2023)]]-Table1[[#This Row],[Share of Domestic Debt (2005)]]</f>
        <v>25.604781306467856</v>
      </c>
      <c r="AS51" s="35" t="s">
        <v>94</v>
      </c>
      <c r="AT51" s="4" t="s">
        <v>86</v>
      </c>
      <c r="AU51" s="4">
        <v>0</v>
      </c>
      <c r="AV51" s="4">
        <v>10.3</v>
      </c>
      <c r="AW51" s="4">
        <v>29.6</v>
      </c>
      <c r="AX51" s="4">
        <v>15.2</v>
      </c>
      <c r="AY51" s="4">
        <v>24.7</v>
      </c>
      <c r="AZ51" s="4">
        <v>0.8</v>
      </c>
      <c r="BA51" s="4">
        <v>19.5</v>
      </c>
      <c r="BB51" s="34">
        <v>3.2962843863309796</v>
      </c>
      <c r="BC51" s="13">
        <v>3.8281721647892395</v>
      </c>
      <c r="BD51" s="13">
        <v>14.725608162717545</v>
      </c>
      <c r="BE51" s="13">
        <v>17.769238597424643</v>
      </c>
      <c r="BF51" s="14">
        <v>2</v>
      </c>
      <c r="BG51" s="14">
        <v>4</v>
      </c>
      <c r="BH51" s="14">
        <v>2</v>
      </c>
      <c r="BI51" s="14">
        <v>4</v>
      </c>
      <c r="BJ51" s="14" t="s">
        <v>95</v>
      </c>
      <c r="BK51" s="77" t="s">
        <v>144</v>
      </c>
      <c r="BL51" s="75"/>
      <c r="BM51" s="4">
        <v>1</v>
      </c>
      <c r="BN51" s="4"/>
      <c r="BO51" s="4">
        <v>1</v>
      </c>
      <c r="BP51" s="4"/>
    </row>
    <row r="52" spans="1:68" ht="16" x14ac:dyDescent="0.45">
      <c r="A52" s="11">
        <v>724</v>
      </c>
      <c r="B52" t="s">
        <v>189</v>
      </c>
      <c r="D52" s="4">
        <v>1</v>
      </c>
      <c r="E52" s="4" t="s">
        <v>89</v>
      </c>
      <c r="F52" s="4"/>
      <c r="G52" s="4">
        <v>1</v>
      </c>
      <c r="H52" s="4"/>
      <c r="I52" s="4"/>
      <c r="J52" s="55"/>
      <c r="K52" s="56"/>
      <c r="L52" s="4">
        <v>1</v>
      </c>
      <c r="M52" s="4">
        <v>1</v>
      </c>
      <c r="N52" s="4">
        <v>6</v>
      </c>
      <c r="O52" s="4">
        <v>1</v>
      </c>
      <c r="P52" s="4">
        <v>1</v>
      </c>
      <c r="Q52" s="4"/>
      <c r="R52" s="29">
        <v>1</v>
      </c>
      <c r="S52" s="4">
        <v>2006</v>
      </c>
      <c r="T52" s="32"/>
      <c r="U52" s="29">
        <v>1</v>
      </c>
      <c r="V52" s="4"/>
      <c r="W52" s="29"/>
      <c r="X52" s="4">
        <v>1</v>
      </c>
      <c r="Y52" s="4">
        <v>1</v>
      </c>
      <c r="Z52" s="29" t="s">
        <v>81</v>
      </c>
      <c r="AA52" s="4" t="s">
        <v>91</v>
      </c>
      <c r="AB52" s="4" t="s">
        <v>70</v>
      </c>
      <c r="AC52" s="4" t="s">
        <v>70</v>
      </c>
      <c r="AD52" s="23" t="s">
        <v>164</v>
      </c>
      <c r="AE52" s="23" t="s">
        <v>72</v>
      </c>
      <c r="AF52" s="24" t="s">
        <v>111</v>
      </c>
      <c r="AG52" s="4" t="s">
        <v>74</v>
      </c>
      <c r="AH52" s="4">
        <v>3.27</v>
      </c>
      <c r="AI52" s="4" t="s">
        <v>84</v>
      </c>
      <c r="AJ52" s="4">
        <v>3.2</v>
      </c>
      <c r="AK52" s="4" t="s">
        <v>129</v>
      </c>
      <c r="AL52" s="64">
        <v>7</v>
      </c>
      <c r="AM52" s="67">
        <v>0</v>
      </c>
      <c r="AN52" s="13">
        <v>26.428415000436914</v>
      </c>
      <c r="AO52" s="13">
        <v>54.405025311879754</v>
      </c>
      <c r="AP52" s="14">
        <v>3</v>
      </c>
      <c r="AQ52" s="14">
        <v>3</v>
      </c>
      <c r="AR52" s="13">
        <f>Table1[[#This Row],[Share of Domestic Debt (2023)]]-Table1[[#This Row],[Share of Domestic Debt (2005)]]</f>
        <v>27.97661031144284</v>
      </c>
      <c r="AS52" s="35" t="s">
        <v>94</v>
      </c>
      <c r="AT52" s="4" t="s">
        <v>86</v>
      </c>
      <c r="AU52" s="4">
        <v>0</v>
      </c>
      <c r="AV52" s="4">
        <v>4.9000000000000004</v>
      </c>
      <c r="AW52" s="4">
        <v>16.100000000000001</v>
      </c>
      <c r="AX52" s="4">
        <v>12.5</v>
      </c>
      <c r="AY52" s="4">
        <v>28.6</v>
      </c>
      <c r="AZ52" s="4">
        <v>0</v>
      </c>
      <c r="BA52" s="4">
        <v>37.9</v>
      </c>
      <c r="BB52" s="34">
        <v>18.608447519898004</v>
      </c>
      <c r="BC52" s="13">
        <v>20.98257922034502</v>
      </c>
      <c r="BD52" s="13">
        <v>13.603157815672882</v>
      </c>
      <c r="BE52" s="13">
        <v>20.641352313466239</v>
      </c>
      <c r="BF52" s="14">
        <v>4</v>
      </c>
      <c r="BG52" s="14">
        <v>4</v>
      </c>
      <c r="BH52" s="14">
        <v>4</v>
      </c>
      <c r="BI52" s="14">
        <v>4</v>
      </c>
      <c r="BJ52" s="14" t="s">
        <v>87</v>
      </c>
      <c r="BK52" s="77" t="s">
        <v>144</v>
      </c>
      <c r="BL52" s="75"/>
      <c r="BM52" s="4"/>
      <c r="BN52" s="4"/>
      <c r="BO52" s="4"/>
      <c r="BP52" s="4"/>
    </row>
    <row r="53" spans="1:68" ht="16" x14ac:dyDescent="0.45">
      <c r="A53" s="11">
        <v>813</v>
      </c>
      <c r="B53" t="s">
        <v>190</v>
      </c>
      <c r="D53" s="4">
        <v>1</v>
      </c>
      <c r="E53" s="4" t="s">
        <v>79</v>
      </c>
      <c r="F53" s="4"/>
      <c r="G53" s="4">
        <v>1</v>
      </c>
      <c r="H53" s="4">
        <v>1</v>
      </c>
      <c r="I53" s="4">
        <v>1</v>
      </c>
      <c r="J53" s="55"/>
      <c r="K53" s="56"/>
      <c r="L53" s="4">
        <v>1</v>
      </c>
      <c r="M53" s="4"/>
      <c r="N53" s="4">
        <v>2</v>
      </c>
      <c r="O53" s="4">
        <v>1</v>
      </c>
      <c r="P53" s="4">
        <v>0</v>
      </c>
      <c r="Q53" s="4"/>
      <c r="R53" s="29"/>
      <c r="S53" s="4"/>
      <c r="T53" s="32"/>
      <c r="U53" s="29"/>
      <c r="V53" s="4">
        <v>1</v>
      </c>
      <c r="W53" s="29"/>
      <c r="X53" s="4" t="s">
        <v>80</v>
      </c>
      <c r="Y53" s="4">
        <v>3</v>
      </c>
      <c r="Z53" s="29" t="s">
        <v>70</v>
      </c>
      <c r="AA53" s="4"/>
      <c r="AB53" s="4" t="s">
        <v>91</v>
      </c>
      <c r="AC53" s="4" t="s">
        <v>91</v>
      </c>
      <c r="AD53" s="23" t="s">
        <v>168</v>
      </c>
      <c r="AE53" s="23" t="s">
        <v>72</v>
      </c>
      <c r="AF53" s="24" t="s">
        <v>115</v>
      </c>
      <c r="AG53" s="4" t="s">
        <v>74</v>
      </c>
      <c r="AH53" s="4">
        <v>2.96</v>
      </c>
      <c r="AI53" s="4" t="s">
        <v>74</v>
      </c>
      <c r="AJ53" s="4">
        <v>2.92</v>
      </c>
      <c r="AK53" s="4" t="s">
        <v>75</v>
      </c>
      <c r="AL53" s="64">
        <v>2</v>
      </c>
      <c r="AM53" s="67">
        <v>0</v>
      </c>
      <c r="AN53" s="13">
        <v>31.902115703808718</v>
      </c>
      <c r="AO53" s="13">
        <v>41.565167989588744</v>
      </c>
      <c r="AP53" s="14">
        <v>3</v>
      </c>
      <c r="AQ53" s="14">
        <v>2</v>
      </c>
      <c r="AR53" s="13">
        <f>Table1[[#This Row],[Share of Domestic Debt (2023)]]-Table1[[#This Row],[Share of Domestic Debt (2005)]]</f>
        <v>9.6630522857800258</v>
      </c>
      <c r="AS53" s="35" t="s">
        <v>85</v>
      </c>
      <c r="AT53" s="4" t="s">
        <v>86</v>
      </c>
      <c r="AU53" s="4">
        <v>0</v>
      </c>
      <c r="AV53" s="4">
        <v>0.7</v>
      </c>
      <c r="AW53" s="4">
        <v>0</v>
      </c>
      <c r="AX53" s="4">
        <v>11.7</v>
      </c>
      <c r="AY53" s="4">
        <v>37.9</v>
      </c>
      <c r="AZ53" s="4">
        <v>0</v>
      </c>
      <c r="BA53" s="4">
        <v>49.6</v>
      </c>
      <c r="BB53" s="34">
        <v>2.4900815584064317</v>
      </c>
      <c r="BC53" s="13">
        <v>2.3834019257417904</v>
      </c>
      <c r="BD53" s="13">
        <v>1.469869329379208</v>
      </c>
      <c r="BE53" s="13">
        <v>1.7049343196460385</v>
      </c>
      <c r="BF53" s="14">
        <v>1</v>
      </c>
      <c r="BG53" s="14">
        <v>1</v>
      </c>
      <c r="BH53" s="14">
        <v>1</v>
      </c>
      <c r="BI53" s="14">
        <v>1</v>
      </c>
      <c r="BJ53" s="14" t="s">
        <v>99</v>
      </c>
      <c r="BK53" s="77"/>
      <c r="BL53" s="75"/>
      <c r="BM53" s="4"/>
      <c r="BN53" s="4"/>
      <c r="BO53" s="4"/>
      <c r="BP53" s="4"/>
    </row>
    <row r="54" spans="1:68" ht="16" x14ac:dyDescent="0.45">
      <c r="A54" s="11">
        <v>726</v>
      </c>
      <c r="B54" t="s">
        <v>191</v>
      </c>
      <c r="D54" s="4">
        <v>1</v>
      </c>
      <c r="E54" s="4" t="s">
        <v>69</v>
      </c>
      <c r="F54" s="4"/>
      <c r="G54" s="4">
        <v>1</v>
      </c>
      <c r="H54" s="4">
        <v>1</v>
      </c>
      <c r="I54" s="4"/>
      <c r="J54" s="55"/>
      <c r="K54" s="56"/>
      <c r="L54" s="4">
        <v>1</v>
      </c>
      <c r="M54" s="4">
        <v>1</v>
      </c>
      <c r="N54" s="4">
        <v>2</v>
      </c>
      <c r="O54" s="4">
        <v>1</v>
      </c>
      <c r="P54" s="4">
        <v>0</v>
      </c>
      <c r="Q54" s="4"/>
      <c r="R54" s="29">
        <v>1</v>
      </c>
      <c r="S54" s="4">
        <v>2023</v>
      </c>
      <c r="T54" s="32"/>
      <c r="U54" s="29"/>
      <c r="V54" s="4">
        <v>1</v>
      </c>
      <c r="W54" s="29"/>
      <c r="X54" s="4">
        <v>1</v>
      </c>
      <c r="Y54" s="4">
        <v>1</v>
      </c>
      <c r="Z54" s="29"/>
      <c r="AA54" s="4" t="s">
        <v>91</v>
      </c>
      <c r="AB54" s="4" t="s">
        <v>91</v>
      </c>
      <c r="AC54" s="4" t="s">
        <v>91</v>
      </c>
      <c r="AD54" s="23" t="s">
        <v>92</v>
      </c>
      <c r="AE54" s="23" t="s">
        <v>72</v>
      </c>
      <c r="AF54" s="24" t="s">
        <v>115</v>
      </c>
      <c r="AG54" s="4" t="s">
        <v>76</v>
      </c>
      <c r="AH54" s="4" t="s">
        <v>76</v>
      </c>
      <c r="AI54" s="4" t="s">
        <v>74</v>
      </c>
      <c r="AJ54" s="4">
        <v>2.23</v>
      </c>
      <c r="AK54" s="4" t="s">
        <v>76</v>
      </c>
      <c r="AL54" s="64">
        <v>0</v>
      </c>
      <c r="AM54" s="67">
        <v>0</v>
      </c>
      <c r="AN54" s="13" t="s">
        <v>76</v>
      </c>
      <c r="AO54" s="13" t="s">
        <v>76</v>
      </c>
      <c r="AP54" s="14" t="s">
        <v>76</v>
      </c>
      <c r="AQ54" s="14" t="s">
        <v>76</v>
      </c>
      <c r="AR54" s="13" t="s">
        <v>76</v>
      </c>
      <c r="AS54" s="35" t="s">
        <v>76</v>
      </c>
      <c r="AT54" s="4" t="s">
        <v>77</v>
      </c>
      <c r="AU54" s="4">
        <v>0</v>
      </c>
      <c r="AV54" s="4">
        <v>0</v>
      </c>
      <c r="AW54" s="4">
        <v>0</v>
      </c>
      <c r="AX54" s="4">
        <v>70.8</v>
      </c>
      <c r="AY54" s="4">
        <v>15.4</v>
      </c>
      <c r="AZ54" s="4">
        <v>0</v>
      </c>
      <c r="BA54" s="4">
        <v>13.8</v>
      </c>
      <c r="BB54" s="34" t="s">
        <v>76</v>
      </c>
      <c r="BC54" s="13" t="s">
        <v>76</v>
      </c>
      <c r="BD54" s="13">
        <v>0.51895979670045034</v>
      </c>
      <c r="BE54" s="13">
        <v>1.3907031277156716</v>
      </c>
      <c r="BF54" s="14" t="s">
        <v>76</v>
      </c>
      <c r="BG54" s="14">
        <v>1</v>
      </c>
      <c r="BH54" s="14" t="s">
        <v>76</v>
      </c>
      <c r="BI54" s="14">
        <v>1</v>
      </c>
      <c r="BJ54" s="14" t="s">
        <v>76</v>
      </c>
      <c r="BK54" s="77"/>
      <c r="BL54" s="75"/>
      <c r="BM54" s="4"/>
      <c r="BN54" s="4"/>
      <c r="BO54" s="4"/>
      <c r="BP54" s="4"/>
    </row>
    <row r="55" spans="1:68" ht="16" x14ac:dyDescent="0.45">
      <c r="A55" s="12">
        <v>733</v>
      </c>
      <c r="B55" t="s">
        <v>192</v>
      </c>
      <c r="D55" s="4">
        <v>1</v>
      </c>
      <c r="E55" s="4" t="s">
        <v>89</v>
      </c>
      <c r="F55" s="4" t="s">
        <v>107</v>
      </c>
      <c r="G55" s="4">
        <v>1</v>
      </c>
      <c r="H55" s="4">
        <v>1</v>
      </c>
      <c r="I55" s="4"/>
      <c r="J55" s="55">
        <v>1</v>
      </c>
      <c r="K55" s="56">
        <v>1</v>
      </c>
      <c r="L55" s="4">
        <v>0</v>
      </c>
      <c r="M55" s="4"/>
      <c r="N55" s="4"/>
      <c r="O55" s="4">
        <v>0</v>
      </c>
      <c r="P55" s="4">
        <v>0</v>
      </c>
      <c r="Q55" s="4"/>
      <c r="R55" s="29"/>
      <c r="S55" s="4"/>
      <c r="T55" s="32">
        <v>1</v>
      </c>
      <c r="U55" s="29"/>
      <c r="V55" s="4">
        <v>1</v>
      </c>
      <c r="W55" s="29"/>
      <c r="X55" s="4">
        <v>1</v>
      </c>
      <c r="Y55" s="4">
        <v>1</v>
      </c>
      <c r="Z55" s="29"/>
      <c r="AA55" s="4"/>
      <c r="AB55" s="4" t="s">
        <v>70</v>
      </c>
      <c r="AC55" s="4" t="s">
        <v>70</v>
      </c>
      <c r="AD55" s="23" t="s">
        <v>82</v>
      </c>
      <c r="AE55" s="23" t="s">
        <v>123</v>
      </c>
      <c r="AF55" s="24" t="s">
        <v>111</v>
      </c>
      <c r="AG55" s="4" t="s">
        <v>74</v>
      </c>
      <c r="AH55" s="4">
        <v>2.12</v>
      </c>
      <c r="AI55" s="4" t="s">
        <v>74</v>
      </c>
      <c r="AJ55" s="4">
        <v>1.67</v>
      </c>
      <c r="AK55" s="4" t="s">
        <v>75</v>
      </c>
      <c r="AL55" s="64">
        <v>2</v>
      </c>
      <c r="AM55" s="67">
        <v>0</v>
      </c>
      <c r="AN55" s="13" t="s">
        <v>76</v>
      </c>
      <c r="AO55" s="13" t="s">
        <v>76</v>
      </c>
      <c r="AP55" s="14" t="s">
        <v>76</v>
      </c>
      <c r="AQ55" s="14" t="s">
        <v>76</v>
      </c>
      <c r="AR55" s="13" t="s">
        <v>76</v>
      </c>
      <c r="AS55" s="35" t="s">
        <v>76</v>
      </c>
      <c r="AT55" s="4" t="s">
        <v>76</v>
      </c>
      <c r="AU55" s="4" t="s">
        <v>76</v>
      </c>
      <c r="AV55" s="4" t="s">
        <v>76</v>
      </c>
      <c r="AW55" s="4" t="s">
        <v>76</v>
      </c>
      <c r="AX55" s="4" t="s">
        <v>76</v>
      </c>
      <c r="AY55" s="4" t="s">
        <v>76</v>
      </c>
      <c r="AZ55" s="4" t="s">
        <v>76</v>
      </c>
      <c r="BA55" s="4" t="s">
        <v>76</v>
      </c>
      <c r="BB55" s="34" t="s">
        <v>76</v>
      </c>
      <c r="BC55" s="13" t="s">
        <v>76</v>
      </c>
      <c r="BD55" s="13">
        <v>2.2256252775101335</v>
      </c>
      <c r="BE55" s="13">
        <v>4.5297174799335975</v>
      </c>
      <c r="BF55" s="14" t="s">
        <v>76</v>
      </c>
      <c r="BG55" s="14">
        <v>2</v>
      </c>
      <c r="BH55" s="14" t="s">
        <v>76</v>
      </c>
      <c r="BI55" s="14">
        <v>1</v>
      </c>
      <c r="BJ55" s="14" t="s">
        <v>76</v>
      </c>
      <c r="BK55" s="77"/>
      <c r="BL55" s="75"/>
      <c r="BM55" s="4"/>
      <c r="BN55" s="4">
        <v>1</v>
      </c>
      <c r="BO55" s="4"/>
      <c r="BP55" s="4"/>
    </row>
    <row r="56" spans="1:68" ht="16" x14ac:dyDescent="0.45">
      <c r="A56" s="11">
        <v>362</v>
      </c>
      <c r="B56" t="s">
        <v>193</v>
      </c>
      <c r="D56" s="4"/>
      <c r="E56" s="4" t="s">
        <v>138</v>
      </c>
      <c r="F56" s="4" t="s">
        <v>139</v>
      </c>
      <c r="G56" s="4"/>
      <c r="H56" s="4"/>
      <c r="I56" s="4">
        <v>1</v>
      </c>
      <c r="J56" s="55">
        <v>1</v>
      </c>
      <c r="K56" s="56"/>
      <c r="L56" s="4">
        <v>0</v>
      </c>
      <c r="M56" s="4"/>
      <c r="N56" s="4"/>
      <c r="O56" s="4">
        <v>0</v>
      </c>
      <c r="P56" s="4">
        <v>0</v>
      </c>
      <c r="Q56" s="4"/>
      <c r="R56" s="29"/>
      <c r="S56" s="4"/>
      <c r="T56" s="32"/>
      <c r="U56" s="29">
        <v>1</v>
      </c>
      <c r="V56" s="4"/>
      <c r="W56" s="29"/>
      <c r="X56" s="4" t="s">
        <v>126</v>
      </c>
      <c r="Y56" s="4">
        <v>4</v>
      </c>
      <c r="Z56" s="29"/>
      <c r="AA56" s="4"/>
      <c r="AB56" s="25" t="s">
        <v>142</v>
      </c>
      <c r="AC56" s="25" t="s">
        <v>70</v>
      </c>
      <c r="AD56" s="26" t="s">
        <v>194</v>
      </c>
      <c r="AE56" s="26" t="s">
        <v>142</v>
      </c>
      <c r="AF56" s="27" t="s">
        <v>76</v>
      </c>
      <c r="AG56" s="4" t="s">
        <v>76</v>
      </c>
      <c r="AH56" s="4">
        <v>3.78</v>
      </c>
      <c r="AI56" s="4" t="s">
        <v>76</v>
      </c>
      <c r="AJ56" s="4">
        <v>3.72</v>
      </c>
      <c r="AK56" s="4" t="s">
        <v>76</v>
      </c>
      <c r="AL56" s="62" t="s">
        <v>76</v>
      </c>
      <c r="AM56" s="68" t="s">
        <v>76</v>
      </c>
      <c r="AN56" s="13">
        <v>58.278867664653696</v>
      </c>
      <c r="AO56" s="13">
        <v>49.345253164960511</v>
      </c>
      <c r="AP56" s="14">
        <v>4</v>
      </c>
      <c r="AQ56" s="14">
        <v>3</v>
      </c>
      <c r="AR56" s="13">
        <f>Table1[[#This Row],[Share of Domestic Debt (2023)]]-Table1[[#This Row],[Share of Domestic Debt (2005)]]</f>
        <v>-8.933614499693185</v>
      </c>
      <c r="AS56" s="35" t="s">
        <v>112</v>
      </c>
      <c r="AT56" s="4" t="s">
        <v>86</v>
      </c>
      <c r="AU56" s="4">
        <v>0</v>
      </c>
      <c r="AV56" s="4">
        <v>0</v>
      </c>
      <c r="AW56" s="4">
        <v>40.700000000000003</v>
      </c>
      <c r="AX56" s="4">
        <v>12.6</v>
      </c>
      <c r="AY56" s="4">
        <v>18.899999999999999</v>
      </c>
      <c r="AZ56" s="4">
        <v>0</v>
      </c>
      <c r="BA56" s="4">
        <v>27.8</v>
      </c>
      <c r="BB56" s="34" t="s">
        <v>76</v>
      </c>
      <c r="BC56" s="13">
        <v>13.338365641959321</v>
      </c>
      <c r="BD56" s="13">
        <v>5.8591968361734201</v>
      </c>
      <c r="BE56" s="13">
        <v>14.888733840683098</v>
      </c>
      <c r="BF56" s="14">
        <v>4</v>
      </c>
      <c r="BG56" s="14">
        <v>4</v>
      </c>
      <c r="BH56" s="14" t="s">
        <v>76</v>
      </c>
      <c r="BI56" s="14">
        <v>3</v>
      </c>
      <c r="BJ56" s="14" t="s">
        <v>87</v>
      </c>
      <c r="BK56" s="77"/>
      <c r="BL56" s="75"/>
      <c r="BM56" s="4"/>
      <c r="BN56" s="4"/>
      <c r="BO56" s="4"/>
      <c r="BP56" s="4"/>
    </row>
    <row r="57" spans="1:68" ht="16" x14ac:dyDescent="0.45">
      <c r="A57" s="11">
        <v>364</v>
      </c>
      <c r="B57" t="s">
        <v>195</v>
      </c>
      <c r="D57" s="4"/>
      <c r="E57" s="4" t="s">
        <v>138</v>
      </c>
      <c r="F57" s="4" t="s">
        <v>139</v>
      </c>
      <c r="G57" s="4"/>
      <c r="H57" s="4"/>
      <c r="I57" s="4">
        <v>1</v>
      </c>
      <c r="J57" s="55">
        <v>1</v>
      </c>
      <c r="K57" s="56">
        <v>1</v>
      </c>
      <c r="L57" s="4">
        <v>0</v>
      </c>
      <c r="M57" s="4"/>
      <c r="N57" s="4"/>
      <c r="O57" s="4">
        <v>0</v>
      </c>
      <c r="P57" s="4">
        <v>0</v>
      </c>
      <c r="Q57" s="4"/>
      <c r="R57" s="29"/>
      <c r="S57" s="4"/>
      <c r="T57" s="32"/>
      <c r="U57" s="29">
        <v>1</v>
      </c>
      <c r="V57" s="4"/>
      <c r="W57" s="29"/>
      <c r="X57" s="4" t="s">
        <v>126</v>
      </c>
      <c r="Y57" s="4">
        <v>4</v>
      </c>
      <c r="Z57" s="29"/>
      <c r="AA57" s="4"/>
      <c r="AB57" s="4" t="s">
        <v>70</v>
      </c>
      <c r="AC57" s="4" t="s">
        <v>70</v>
      </c>
      <c r="AD57" s="23" t="s">
        <v>132</v>
      </c>
      <c r="AE57" s="23" t="s">
        <v>72</v>
      </c>
      <c r="AF57" s="24" t="s">
        <v>111</v>
      </c>
      <c r="AG57" s="4" t="s">
        <v>84</v>
      </c>
      <c r="AH57" s="4">
        <v>3.73</v>
      </c>
      <c r="AI57" s="4" t="s">
        <v>84</v>
      </c>
      <c r="AJ57" s="4">
        <v>3.66</v>
      </c>
      <c r="AK57" s="4" t="s">
        <v>75</v>
      </c>
      <c r="AL57" s="64">
        <v>0</v>
      </c>
      <c r="AM57" s="67">
        <v>3.4250000000000007</v>
      </c>
      <c r="AN57" s="13">
        <v>15.356748615109055</v>
      </c>
      <c r="AO57" s="13">
        <v>39.0071304280753</v>
      </c>
      <c r="AP57" s="14">
        <v>2</v>
      </c>
      <c r="AQ57" s="14">
        <v>2</v>
      </c>
      <c r="AR57" s="13">
        <f>Table1[[#This Row],[Share of Domestic Debt (2023)]]-Table1[[#This Row],[Share of Domestic Debt (2005)]]</f>
        <v>23.650381812966245</v>
      </c>
      <c r="AS57" s="35" t="s">
        <v>94</v>
      </c>
      <c r="AT57" s="4" t="s">
        <v>86</v>
      </c>
      <c r="AU57" s="4">
        <v>0</v>
      </c>
      <c r="AV57" s="4">
        <v>0.2</v>
      </c>
      <c r="AW57" s="4">
        <v>5.0999999999999996</v>
      </c>
      <c r="AX57" s="4">
        <v>12.2</v>
      </c>
      <c r="AY57" s="4">
        <v>23.2</v>
      </c>
      <c r="AZ57" s="4">
        <v>0</v>
      </c>
      <c r="BA57" s="4">
        <v>59.3</v>
      </c>
      <c r="BB57" s="34" t="s">
        <v>76</v>
      </c>
      <c r="BC57" s="13">
        <v>10.296982348752707</v>
      </c>
      <c r="BD57" s="13">
        <v>9.6377654995154138</v>
      </c>
      <c r="BE57" s="13">
        <v>11.5364019749587</v>
      </c>
      <c r="BF57" s="14">
        <v>3</v>
      </c>
      <c r="BG57" s="14">
        <v>3</v>
      </c>
      <c r="BH57" s="14" t="s">
        <v>76</v>
      </c>
      <c r="BI57" s="14">
        <v>4</v>
      </c>
      <c r="BJ57" s="14" t="s">
        <v>113</v>
      </c>
      <c r="BK57" s="77"/>
      <c r="BL57" s="75"/>
      <c r="BM57" s="4"/>
      <c r="BN57" s="4"/>
      <c r="BO57" s="4"/>
      <c r="BP57" s="4"/>
    </row>
    <row r="58" spans="1:68" ht="16" x14ac:dyDescent="0.45">
      <c r="A58" s="11">
        <v>732</v>
      </c>
      <c r="B58" t="s">
        <v>196</v>
      </c>
      <c r="D58" s="4">
        <v>1</v>
      </c>
      <c r="E58" s="4" t="s">
        <v>69</v>
      </c>
      <c r="F58" s="4"/>
      <c r="G58" s="4">
        <v>1</v>
      </c>
      <c r="H58" s="4">
        <v>1</v>
      </c>
      <c r="I58" s="4"/>
      <c r="J58" s="55"/>
      <c r="K58" s="56"/>
      <c r="L58" s="4">
        <v>1</v>
      </c>
      <c r="M58" s="4"/>
      <c r="N58" s="4">
        <v>1</v>
      </c>
      <c r="O58" s="4">
        <v>0</v>
      </c>
      <c r="P58" s="4">
        <v>0</v>
      </c>
      <c r="Q58" s="4"/>
      <c r="R58" s="29">
        <v>2</v>
      </c>
      <c r="S58" s="4" t="s">
        <v>76</v>
      </c>
      <c r="T58" s="32"/>
      <c r="U58" s="29">
        <v>0</v>
      </c>
      <c r="V58" s="4">
        <v>0</v>
      </c>
      <c r="W58" s="29"/>
      <c r="X58" s="4">
        <v>1</v>
      </c>
      <c r="Y58" s="4">
        <v>1</v>
      </c>
      <c r="Z58" s="29" t="s">
        <v>127</v>
      </c>
      <c r="AA58" s="4"/>
      <c r="AB58" s="4" t="s">
        <v>127</v>
      </c>
      <c r="AC58" s="4" t="s">
        <v>127</v>
      </c>
      <c r="AD58" s="23" t="s">
        <v>71</v>
      </c>
      <c r="AE58" s="23" t="s">
        <v>123</v>
      </c>
      <c r="AF58" s="24" t="s">
        <v>197</v>
      </c>
      <c r="AG58" s="4" t="s">
        <v>74</v>
      </c>
      <c r="AH58" s="4">
        <v>2.3199999999999998</v>
      </c>
      <c r="AI58" s="4" t="s">
        <v>74</v>
      </c>
      <c r="AJ58" s="4">
        <v>2</v>
      </c>
      <c r="AK58" s="4" t="s">
        <v>75</v>
      </c>
      <c r="AL58" s="64">
        <v>0</v>
      </c>
      <c r="AM58" s="67">
        <v>0</v>
      </c>
      <c r="AN58" s="13">
        <v>59.700193005181042</v>
      </c>
      <c r="AO58" s="13">
        <v>74.427474053171863</v>
      </c>
      <c r="AP58" s="14">
        <v>4</v>
      </c>
      <c r="AQ58" s="14">
        <v>4</v>
      </c>
      <c r="AR58" s="13">
        <f>Table1[[#This Row],[Share of Domestic Debt (2023)]]-Table1[[#This Row],[Share of Domestic Debt (2005)]]</f>
        <v>14.727281047990822</v>
      </c>
      <c r="AS58" s="35" t="s">
        <v>85</v>
      </c>
      <c r="AT58" s="4" t="s">
        <v>77</v>
      </c>
      <c r="AU58" s="4">
        <v>0</v>
      </c>
      <c r="AV58" s="4">
        <v>8.1999999999999993</v>
      </c>
      <c r="AW58" s="4">
        <v>29.4</v>
      </c>
      <c r="AX58" s="4">
        <v>42.7</v>
      </c>
      <c r="AY58" s="4">
        <v>5.8</v>
      </c>
      <c r="AZ58" s="4">
        <v>0</v>
      </c>
      <c r="BA58" s="4">
        <v>14</v>
      </c>
      <c r="BB58" s="34">
        <v>7.1170322579789156</v>
      </c>
      <c r="BC58" s="13">
        <v>5.626242480059247</v>
      </c>
      <c r="BD58" s="13">
        <v>2.5593282643557522</v>
      </c>
      <c r="BE58" s="13">
        <v>3.7260507443112019</v>
      </c>
      <c r="BF58" s="14">
        <v>2</v>
      </c>
      <c r="BG58" s="14">
        <v>1</v>
      </c>
      <c r="BH58" s="14">
        <v>3</v>
      </c>
      <c r="BI58" s="14">
        <v>1</v>
      </c>
      <c r="BJ58" s="14" t="s">
        <v>130</v>
      </c>
      <c r="BK58" s="77"/>
      <c r="BL58" s="75"/>
      <c r="BM58" s="4"/>
      <c r="BN58" s="4"/>
      <c r="BO58" s="4"/>
      <c r="BP58" s="4"/>
    </row>
    <row r="59" spans="1:68" ht="16" x14ac:dyDescent="0.45">
      <c r="A59" s="11">
        <v>463</v>
      </c>
      <c r="B59" t="s">
        <v>198</v>
      </c>
      <c r="D59" s="4">
        <v>1</v>
      </c>
      <c r="E59" s="4" t="s">
        <v>69</v>
      </c>
      <c r="F59" s="4"/>
      <c r="G59" s="4"/>
      <c r="H59" s="4">
        <v>1</v>
      </c>
      <c r="I59" s="4"/>
      <c r="J59" s="55"/>
      <c r="K59" s="56"/>
      <c r="L59" s="4">
        <v>0</v>
      </c>
      <c r="M59" s="4"/>
      <c r="N59" s="4"/>
      <c r="O59" s="4">
        <v>0</v>
      </c>
      <c r="P59" s="4">
        <v>0</v>
      </c>
      <c r="Q59" s="4"/>
      <c r="R59" s="29"/>
      <c r="S59" s="4"/>
      <c r="T59" s="32"/>
      <c r="U59" s="29">
        <v>0</v>
      </c>
      <c r="V59" s="4">
        <v>0</v>
      </c>
      <c r="W59" s="29"/>
      <c r="X59" s="4">
        <v>1</v>
      </c>
      <c r="Y59" s="4">
        <v>1</v>
      </c>
      <c r="Z59" s="29"/>
      <c r="AA59" s="4"/>
      <c r="AB59" s="4" t="s">
        <v>142</v>
      </c>
      <c r="AC59" s="4" t="s">
        <v>142</v>
      </c>
      <c r="AD59" s="23" t="s">
        <v>142</v>
      </c>
      <c r="AE59" s="23" t="s">
        <v>76</v>
      </c>
      <c r="AF59" s="24" t="s">
        <v>76</v>
      </c>
      <c r="AG59" s="4" t="s">
        <v>76</v>
      </c>
      <c r="AH59" s="4" t="s">
        <v>76</v>
      </c>
      <c r="AI59" s="4" t="s">
        <v>76</v>
      </c>
      <c r="AJ59" s="4" t="s">
        <v>76</v>
      </c>
      <c r="AK59" s="4" t="s">
        <v>76</v>
      </c>
      <c r="AL59" s="64">
        <v>0</v>
      </c>
      <c r="AM59" s="67" t="s">
        <v>76</v>
      </c>
      <c r="AN59" s="13" t="s">
        <v>76</v>
      </c>
      <c r="AO59" s="13" t="s">
        <v>76</v>
      </c>
      <c r="AP59" s="14" t="s">
        <v>76</v>
      </c>
      <c r="AQ59" s="14" t="s">
        <v>76</v>
      </c>
      <c r="AR59" s="13" t="s">
        <v>76</v>
      </c>
      <c r="AS59" s="35" t="s">
        <v>76</v>
      </c>
      <c r="AT59" s="4" t="s">
        <v>77</v>
      </c>
      <c r="AU59" s="4">
        <v>0</v>
      </c>
      <c r="AV59" s="4">
        <v>2</v>
      </c>
      <c r="AW59" s="4">
        <v>0.5</v>
      </c>
      <c r="AX59" s="4">
        <v>56.8</v>
      </c>
      <c r="AY59" s="4">
        <v>0.4</v>
      </c>
      <c r="AZ59" s="4">
        <v>0</v>
      </c>
      <c r="BA59" s="4">
        <v>40.299999999999997</v>
      </c>
      <c r="BB59" s="34">
        <v>2.7937920836732202</v>
      </c>
      <c r="BC59" s="13">
        <v>4.8596971905922954</v>
      </c>
      <c r="BD59" s="13" t="s">
        <v>76</v>
      </c>
      <c r="BE59" s="13" t="s">
        <v>76</v>
      </c>
      <c r="BF59" s="14">
        <v>2</v>
      </c>
      <c r="BG59" s="14" t="s">
        <v>76</v>
      </c>
      <c r="BH59" s="14">
        <v>2</v>
      </c>
      <c r="BI59" s="14" t="s">
        <v>76</v>
      </c>
      <c r="BJ59" s="14" t="s">
        <v>76</v>
      </c>
      <c r="BK59" s="77"/>
      <c r="BL59" s="75"/>
      <c r="BM59" s="4"/>
      <c r="BN59" s="4"/>
      <c r="BO59" s="4"/>
      <c r="BP59" s="4"/>
    </row>
    <row r="60" spans="1:68" ht="16" x14ac:dyDescent="0.45">
      <c r="A60" s="11">
        <v>923</v>
      </c>
      <c r="B60" t="s">
        <v>199</v>
      </c>
      <c r="D60" s="4">
        <v>1</v>
      </c>
      <c r="E60" s="4" t="s">
        <v>69</v>
      </c>
      <c r="F60" s="4"/>
      <c r="G60" s="4">
        <v>1</v>
      </c>
      <c r="H60" s="4"/>
      <c r="I60" s="4"/>
      <c r="J60" s="55"/>
      <c r="K60" s="56"/>
      <c r="L60" s="4">
        <v>1</v>
      </c>
      <c r="M60" s="4"/>
      <c r="N60" s="4">
        <v>1</v>
      </c>
      <c r="O60" s="4">
        <v>0</v>
      </c>
      <c r="P60" s="4">
        <v>0</v>
      </c>
      <c r="Q60" s="4"/>
      <c r="R60" s="29"/>
      <c r="S60" s="4"/>
      <c r="T60" s="32"/>
      <c r="U60" s="29">
        <v>1</v>
      </c>
      <c r="V60" s="4"/>
      <c r="W60" s="29">
        <v>1</v>
      </c>
      <c r="X60" s="4" t="s">
        <v>126</v>
      </c>
      <c r="Y60" s="4">
        <v>2</v>
      </c>
      <c r="Z60" s="29" t="s">
        <v>91</v>
      </c>
      <c r="AA60" s="4"/>
      <c r="AB60" s="4" t="s">
        <v>70</v>
      </c>
      <c r="AC60" s="4" t="s">
        <v>70</v>
      </c>
      <c r="AD60" s="23" t="s">
        <v>158</v>
      </c>
      <c r="AE60" s="23" t="s">
        <v>72</v>
      </c>
      <c r="AF60" s="24" t="s">
        <v>73</v>
      </c>
      <c r="AG60" s="4" t="s">
        <v>74</v>
      </c>
      <c r="AH60" s="4">
        <v>3.38</v>
      </c>
      <c r="AI60" s="4" t="s">
        <v>98</v>
      </c>
      <c r="AJ60" s="4">
        <v>3.19</v>
      </c>
      <c r="AK60" s="4" t="s">
        <v>129</v>
      </c>
      <c r="AL60" s="64">
        <v>10.3</v>
      </c>
      <c r="AM60" s="67">
        <v>1.7299999999999969</v>
      </c>
      <c r="AN60" s="13">
        <v>20.420741405028338</v>
      </c>
      <c r="AO60" s="13">
        <v>15.153537639041801</v>
      </c>
      <c r="AP60" s="14">
        <v>2</v>
      </c>
      <c r="AQ60" s="14">
        <v>1</v>
      </c>
      <c r="AR60" s="13">
        <f>Table1[[#This Row],[Share of Domestic Debt (2023)]]-Table1[[#This Row],[Share of Domestic Debt (2005)]]</f>
        <v>-5.2672037659865367</v>
      </c>
      <c r="AS60" s="35" t="s">
        <v>112</v>
      </c>
      <c r="AT60" s="4" t="s">
        <v>116</v>
      </c>
      <c r="AU60" s="4">
        <v>1</v>
      </c>
      <c r="AV60" s="4">
        <v>40.6</v>
      </c>
      <c r="AW60" s="4">
        <v>12.6</v>
      </c>
      <c r="AX60" s="4">
        <v>5.5</v>
      </c>
      <c r="AY60" s="4">
        <v>12.9</v>
      </c>
      <c r="AZ60" s="4">
        <v>0</v>
      </c>
      <c r="BA60" s="4">
        <v>28.5</v>
      </c>
      <c r="BB60" s="34">
        <v>2.3504315538472995</v>
      </c>
      <c r="BC60" s="13">
        <v>2.4919240691217879</v>
      </c>
      <c r="BD60" s="13">
        <v>5.0805843828215878</v>
      </c>
      <c r="BE60" s="13">
        <v>2.6710583174673017</v>
      </c>
      <c r="BF60" s="14">
        <v>1</v>
      </c>
      <c r="BG60" s="14">
        <v>1</v>
      </c>
      <c r="BH60" s="14">
        <v>1</v>
      </c>
      <c r="BI60" s="14">
        <v>2</v>
      </c>
      <c r="BJ60" s="14" t="s">
        <v>99</v>
      </c>
      <c r="BK60" s="77"/>
      <c r="BL60" s="75"/>
      <c r="BM60" s="4"/>
      <c r="BN60" s="4"/>
      <c r="BO60" s="4"/>
      <c r="BP60" s="4"/>
    </row>
    <row r="61" spans="1:68" ht="16" x14ac:dyDescent="0.45">
      <c r="A61" s="11">
        <v>738</v>
      </c>
      <c r="B61" t="s">
        <v>200</v>
      </c>
      <c r="D61" s="4">
        <v>1</v>
      </c>
      <c r="E61" s="4" t="s">
        <v>89</v>
      </c>
      <c r="F61" s="4" t="s">
        <v>107</v>
      </c>
      <c r="G61" s="4"/>
      <c r="H61" s="4"/>
      <c r="I61" s="4"/>
      <c r="J61" s="55">
        <v>1</v>
      </c>
      <c r="K61" s="56">
        <v>1</v>
      </c>
      <c r="L61" s="4">
        <v>1</v>
      </c>
      <c r="M61" s="4">
        <v>1</v>
      </c>
      <c r="N61" s="4">
        <v>2</v>
      </c>
      <c r="O61" s="4">
        <v>1</v>
      </c>
      <c r="P61" s="4">
        <v>1</v>
      </c>
      <c r="Q61" s="4">
        <v>1</v>
      </c>
      <c r="R61" s="29">
        <v>1</v>
      </c>
      <c r="S61" s="4">
        <v>2001</v>
      </c>
      <c r="T61" s="32"/>
      <c r="U61" s="29">
        <v>1</v>
      </c>
      <c r="V61" s="4"/>
      <c r="W61" s="29">
        <v>1</v>
      </c>
      <c r="X61" s="4">
        <v>1</v>
      </c>
      <c r="Y61" s="4">
        <v>1</v>
      </c>
      <c r="Z61" s="29" t="s">
        <v>91</v>
      </c>
      <c r="AA61" s="4"/>
      <c r="AB61" s="4" t="s">
        <v>91</v>
      </c>
      <c r="AC61" s="4" t="s">
        <v>91</v>
      </c>
      <c r="AD61" s="23" t="s">
        <v>82</v>
      </c>
      <c r="AE61" s="23" t="s">
        <v>72</v>
      </c>
      <c r="AF61" s="24" t="s">
        <v>111</v>
      </c>
      <c r="AG61" s="4" t="s">
        <v>98</v>
      </c>
      <c r="AH61" s="4">
        <v>3.75</v>
      </c>
      <c r="AI61" s="4" t="s">
        <v>84</v>
      </c>
      <c r="AJ61" s="4">
        <v>3.51</v>
      </c>
      <c r="AK61" s="4" t="s">
        <v>103</v>
      </c>
      <c r="AL61" s="64">
        <v>4.3333333333333339</v>
      </c>
      <c r="AM61" s="67">
        <v>0</v>
      </c>
      <c r="AN61" s="13">
        <v>15.422279646790116</v>
      </c>
      <c r="AO61" s="13">
        <v>35.998942764583347</v>
      </c>
      <c r="AP61" s="14">
        <v>2</v>
      </c>
      <c r="AQ61" s="14">
        <v>2</v>
      </c>
      <c r="AR61" s="13">
        <f>Table1[[#This Row],[Share of Domestic Debt (2023)]]-Table1[[#This Row],[Share of Domestic Debt (2005)]]</f>
        <v>20.576663117793231</v>
      </c>
      <c r="AS61" s="35" t="s">
        <v>94</v>
      </c>
      <c r="AT61" s="4" t="s">
        <v>86</v>
      </c>
      <c r="AU61" s="4">
        <v>1</v>
      </c>
      <c r="AV61" s="4">
        <v>14.3</v>
      </c>
      <c r="AW61" s="4">
        <v>12.8</v>
      </c>
      <c r="AX61" s="4">
        <v>11.5</v>
      </c>
      <c r="AY61" s="4">
        <v>44.8</v>
      </c>
      <c r="AZ61" s="4">
        <v>0</v>
      </c>
      <c r="BA61" s="4">
        <v>16.600000000000001</v>
      </c>
      <c r="BB61" s="34">
        <v>4.9660580140214545</v>
      </c>
      <c r="BC61" s="13">
        <v>5.8622951054206114</v>
      </c>
      <c r="BD61" s="13">
        <v>12.961021429101752</v>
      </c>
      <c r="BE61" s="13">
        <v>14.566080795673741</v>
      </c>
      <c r="BF61" s="14">
        <v>3</v>
      </c>
      <c r="BG61" s="14">
        <v>4</v>
      </c>
      <c r="BH61" s="14">
        <v>3</v>
      </c>
      <c r="BI61" s="14">
        <v>4</v>
      </c>
      <c r="BJ61" s="14" t="s">
        <v>95</v>
      </c>
      <c r="BK61" s="77"/>
      <c r="BL61" s="75"/>
      <c r="BM61" s="4"/>
      <c r="BN61" s="4"/>
      <c r="BO61" s="4"/>
      <c r="BP61" s="4"/>
    </row>
    <row r="62" spans="1:68" ht="16" x14ac:dyDescent="0.45">
      <c r="A62" s="11">
        <v>537</v>
      </c>
      <c r="B62" t="s">
        <v>201</v>
      </c>
      <c r="D62" s="4">
        <v>1</v>
      </c>
      <c r="E62" s="4" t="s">
        <v>79</v>
      </c>
      <c r="F62" s="4"/>
      <c r="G62" s="4">
        <v>1</v>
      </c>
      <c r="H62" s="4">
        <v>1</v>
      </c>
      <c r="I62" s="4">
        <v>1</v>
      </c>
      <c r="J62" s="55">
        <v>1</v>
      </c>
      <c r="K62" s="56">
        <v>1</v>
      </c>
      <c r="L62" s="4">
        <v>0</v>
      </c>
      <c r="M62" s="4"/>
      <c r="N62" s="4"/>
      <c r="O62" s="4">
        <v>0</v>
      </c>
      <c r="P62" s="4">
        <v>0</v>
      </c>
      <c r="Q62" s="4"/>
      <c r="R62" s="29"/>
      <c r="S62" s="4"/>
      <c r="T62" s="32"/>
      <c r="U62" s="29"/>
      <c r="V62" s="4">
        <v>1</v>
      </c>
      <c r="W62" s="29"/>
      <c r="X62" s="4" t="s">
        <v>80</v>
      </c>
      <c r="Y62" s="4">
        <v>3</v>
      </c>
      <c r="Z62" s="29"/>
      <c r="AA62" s="4"/>
      <c r="AB62" s="4" t="s">
        <v>91</v>
      </c>
      <c r="AC62" s="4" t="s">
        <v>91</v>
      </c>
      <c r="AD62" s="23" t="s">
        <v>147</v>
      </c>
      <c r="AE62" s="23" t="s">
        <v>72</v>
      </c>
      <c r="AF62" s="24" t="s">
        <v>111</v>
      </c>
      <c r="AG62" s="4" t="s">
        <v>74</v>
      </c>
      <c r="AH62" s="4">
        <v>3.02</v>
      </c>
      <c r="AI62" s="4" t="s">
        <v>74</v>
      </c>
      <c r="AJ62" s="4">
        <v>2.79</v>
      </c>
      <c r="AK62" s="4" t="s">
        <v>75</v>
      </c>
      <c r="AL62" s="64">
        <v>0</v>
      </c>
      <c r="AM62" s="67">
        <v>0</v>
      </c>
      <c r="AN62" s="13" t="s">
        <v>76</v>
      </c>
      <c r="AO62" s="13">
        <v>1.5849941958483384</v>
      </c>
      <c r="AP62" s="14" t="s">
        <v>76</v>
      </c>
      <c r="AQ62" s="14">
        <v>1</v>
      </c>
      <c r="AR62" s="13" t="s">
        <v>76</v>
      </c>
      <c r="AS62" s="35" t="s">
        <v>76</v>
      </c>
      <c r="AT62" s="4" t="s">
        <v>86</v>
      </c>
      <c r="AU62" s="4">
        <v>0</v>
      </c>
      <c r="AV62" s="4">
        <v>0</v>
      </c>
      <c r="AW62" s="4">
        <v>0</v>
      </c>
      <c r="AX62" s="4">
        <v>10.199999999999999</v>
      </c>
      <c r="AY62" s="4">
        <v>21.4</v>
      </c>
      <c r="AZ62" s="4">
        <v>0</v>
      </c>
      <c r="BA62" s="4">
        <v>68.400000000000006</v>
      </c>
      <c r="BB62" s="34" t="s">
        <v>76</v>
      </c>
      <c r="BC62" s="13" t="s">
        <v>76</v>
      </c>
      <c r="BD62" s="13">
        <v>5.035392525086861</v>
      </c>
      <c r="BE62" s="13">
        <v>0.76100469097393986</v>
      </c>
      <c r="BF62" s="14" t="s">
        <v>76</v>
      </c>
      <c r="BG62" s="14">
        <v>1</v>
      </c>
      <c r="BH62" s="14" t="s">
        <v>76</v>
      </c>
      <c r="BI62" s="14">
        <v>2</v>
      </c>
      <c r="BJ62" s="14" t="s">
        <v>76</v>
      </c>
      <c r="BK62" s="77"/>
      <c r="BL62" s="75"/>
      <c r="BM62" s="4"/>
      <c r="BN62" s="4"/>
      <c r="BO62" s="4"/>
      <c r="BP62" s="4"/>
    </row>
    <row r="63" spans="1:68" ht="16" x14ac:dyDescent="0.45">
      <c r="A63" s="11">
        <v>742</v>
      </c>
      <c r="B63" t="s">
        <v>202</v>
      </c>
      <c r="D63" s="4">
        <v>1</v>
      </c>
      <c r="E63" s="4" t="s">
        <v>89</v>
      </c>
      <c r="F63" s="4" t="s">
        <v>90</v>
      </c>
      <c r="G63" s="4"/>
      <c r="H63" s="4"/>
      <c r="I63" s="4"/>
      <c r="J63" s="55">
        <v>1</v>
      </c>
      <c r="K63" s="56">
        <v>1</v>
      </c>
      <c r="L63" s="4">
        <v>1</v>
      </c>
      <c r="M63" s="4">
        <v>1</v>
      </c>
      <c r="N63" s="4">
        <v>3</v>
      </c>
      <c r="O63" s="4">
        <v>1</v>
      </c>
      <c r="P63" s="4">
        <v>1</v>
      </c>
      <c r="Q63" s="4"/>
      <c r="R63" s="29">
        <v>1</v>
      </c>
      <c r="S63" s="4">
        <v>2010</v>
      </c>
      <c r="T63" s="32"/>
      <c r="U63" s="29">
        <v>1</v>
      </c>
      <c r="V63" s="4"/>
      <c r="W63" s="29">
        <v>1</v>
      </c>
      <c r="X63" s="4">
        <v>1</v>
      </c>
      <c r="Y63" s="4">
        <v>1</v>
      </c>
      <c r="Z63" s="29" t="s">
        <v>127</v>
      </c>
      <c r="AA63" s="4" t="s">
        <v>91</v>
      </c>
      <c r="AB63" s="4" t="s">
        <v>91</v>
      </c>
      <c r="AC63" s="4" t="s">
        <v>70</v>
      </c>
      <c r="AD63" s="23" t="s">
        <v>92</v>
      </c>
      <c r="AE63" s="23" t="s">
        <v>72</v>
      </c>
      <c r="AF63" s="24" t="s">
        <v>111</v>
      </c>
      <c r="AG63" s="4" t="s">
        <v>74</v>
      </c>
      <c r="AH63" s="4">
        <v>2.97</v>
      </c>
      <c r="AI63" s="4" t="s">
        <v>84</v>
      </c>
      <c r="AJ63" s="4">
        <v>3.77</v>
      </c>
      <c r="AK63" s="4" t="s">
        <v>129</v>
      </c>
      <c r="AL63" s="64">
        <v>0</v>
      </c>
      <c r="AM63" s="67">
        <v>6.8000000000000007</v>
      </c>
      <c r="AN63" s="13">
        <v>22.163650201206337</v>
      </c>
      <c r="AO63" s="13">
        <v>67.373230268243248</v>
      </c>
      <c r="AP63" s="14">
        <v>2</v>
      </c>
      <c r="AQ63" s="14">
        <v>4</v>
      </c>
      <c r="AR63" s="13">
        <f>Table1[[#This Row],[Share of Domestic Debt (2023)]]-Table1[[#This Row],[Share of Domestic Debt (2005)]]</f>
        <v>45.20958006703691</v>
      </c>
      <c r="AS63" s="35" t="s">
        <v>104</v>
      </c>
      <c r="AT63" s="4" t="s">
        <v>86</v>
      </c>
      <c r="AU63" s="4">
        <v>1</v>
      </c>
      <c r="AV63" s="4">
        <v>36.6</v>
      </c>
      <c r="AW63" s="4">
        <v>8.3000000000000007</v>
      </c>
      <c r="AX63" s="4">
        <v>8.1999999999999993</v>
      </c>
      <c r="AY63" s="4">
        <v>11.3</v>
      </c>
      <c r="AZ63" s="4">
        <v>0</v>
      </c>
      <c r="BA63" s="4">
        <v>35.5</v>
      </c>
      <c r="BB63" s="34">
        <v>2.7097276156705545</v>
      </c>
      <c r="BC63" s="13">
        <v>6.1666566113139449</v>
      </c>
      <c r="BD63" s="13">
        <v>9.2513866370534483</v>
      </c>
      <c r="BE63" s="13">
        <v>12.512098530246895</v>
      </c>
      <c r="BF63" s="14">
        <v>3</v>
      </c>
      <c r="BG63" s="14">
        <v>3</v>
      </c>
      <c r="BH63" s="14">
        <v>2</v>
      </c>
      <c r="BI63" s="14">
        <v>3</v>
      </c>
      <c r="BJ63" s="14" t="s">
        <v>95</v>
      </c>
      <c r="BK63" s="77"/>
      <c r="BL63" s="75"/>
      <c r="BM63" s="4"/>
      <c r="BN63" s="4"/>
      <c r="BO63" s="4"/>
      <c r="BP63" s="4"/>
    </row>
    <row r="64" spans="1:68" ht="16" x14ac:dyDescent="0.45">
      <c r="A64" s="11">
        <v>866</v>
      </c>
      <c r="B64" t="s">
        <v>203</v>
      </c>
      <c r="D64" s="4"/>
      <c r="E64" s="4" t="s">
        <v>79</v>
      </c>
      <c r="F64" s="4"/>
      <c r="G64" s="4"/>
      <c r="H64" s="4"/>
      <c r="I64" s="4">
        <v>1</v>
      </c>
      <c r="J64" s="55"/>
      <c r="K64" s="56"/>
      <c r="L64" s="4">
        <v>0</v>
      </c>
      <c r="M64" s="4"/>
      <c r="N64" s="4"/>
      <c r="O64" s="4">
        <v>0</v>
      </c>
      <c r="P64" s="4">
        <v>0</v>
      </c>
      <c r="Q64" s="4"/>
      <c r="R64" s="29"/>
      <c r="S64" s="4"/>
      <c r="T64" s="32"/>
      <c r="U64" s="29">
        <v>1</v>
      </c>
      <c r="V64" s="4"/>
      <c r="W64" s="29"/>
      <c r="X64" s="4" t="s">
        <v>126</v>
      </c>
      <c r="Y64" s="4">
        <v>4</v>
      </c>
      <c r="Z64" s="29" t="s">
        <v>70</v>
      </c>
      <c r="AA64" s="4"/>
      <c r="AB64" s="4" t="s">
        <v>70</v>
      </c>
      <c r="AC64" s="4" t="s">
        <v>70</v>
      </c>
      <c r="AD64" s="23" t="s">
        <v>147</v>
      </c>
      <c r="AE64" s="23" t="s">
        <v>72</v>
      </c>
      <c r="AF64" s="24" t="s">
        <v>185</v>
      </c>
      <c r="AG64" s="4" t="s">
        <v>74</v>
      </c>
      <c r="AH64" s="4">
        <v>3.46</v>
      </c>
      <c r="AI64" s="4" t="s">
        <v>98</v>
      </c>
      <c r="AJ64" s="4">
        <v>3.46</v>
      </c>
      <c r="AK64" s="4" t="s">
        <v>129</v>
      </c>
      <c r="AL64" s="64">
        <v>2</v>
      </c>
      <c r="AM64" s="67">
        <v>0</v>
      </c>
      <c r="AN64" s="13">
        <v>30.115716745039123</v>
      </c>
      <c r="AO64" s="13">
        <v>32.06058777488299</v>
      </c>
      <c r="AP64" s="14">
        <v>3</v>
      </c>
      <c r="AQ64" s="14">
        <v>2</v>
      </c>
      <c r="AR64" s="13">
        <f>Table1[[#This Row],[Share of Domestic Debt (2023)]]-Table1[[#This Row],[Share of Domestic Debt (2005)]]</f>
        <v>1.9448710298438669</v>
      </c>
      <c r="AS64" s="35" t="s">
        <v>113</v>
      </c>
      <c r="AT64" s="4" t="s">
        <v>116</v>
      </c>
      <c r="AU64" s="4">
        <v>1</v>
      </c>
      <c r="AV64" s="4">
        <v>60.7</v>
      </c>
      <c r="AW64" s="4">
        <v>0</v>
      </c>
      <c r="AX64" s="4">
        <v>0</v>
      </c>
      <c r="AY64" s="4">
        <v>21.3</v>
      </c>
      <c r="AZ64" s="4">
        <v>0</v>
      </c>
      <c r="BA64" s="4">
        <v>18</v>
      </c>
      <c r="BB64" s="34">
        <v>4.2463277522530367</v>
      </c>
      <c r="BC64" s="13">
        <v>3.1501019982854666</v>
      </c>
      <c r="BD64" s="13">
        <v>2.4308973876509308</v>
      </c>
      <c r="BE64" s="13">
        <v>0.89316308991020521</v>
      </c>
      <c r="BF64" s="14">
        <v>1</v>
      </c>
      <c r="BG64" s="14">
        <v>1</v>
      </c>
      <c r="BH64" s="14">
        <v>2</v>
      </c>
      <c r="BI64" s="14">
        <v>1</v>
      </c>
      <c r="BJ64" s="14" t="s">
        <v>130</v>
      </c>
      <c r="BK64" s="77"/>
      <c r="BL64" s="75"/>
      <c r="BM64" s="4"/>
      <c r="BN64" s="4"/>
      <c r="BO64" s="4"/>
      <c r="BP64" s="4"/>
    </row>
    <row r="65" spans="1:68" ht="16" x14ac:dyDescent="0.45">
      <c r="A65" s="11">
        <v>869</v>
      </c>
      <c r="B65" t="s">
        <v>204</v>
      </c>
      <c r="D65" s="4"/>
      <c r="E65" s="4" t="s">
        <v>79</v>
      </c>
      <c r="F65" s="4"/>
      <c r="G65" s="4">
        <v>1</v>
      </c>
      <c r="H65" s="4">
        <v>1</v>
      </c>
      <c r="I65" s="4">
        <v>1</v>
      </c>
      <c r="J65" s="55"/>
      <c r="K65" s="56"/>
      <c r="L65" s="4">
        <v>0</v>
      </c>
      <c r="M65" s="4"/>
      <c r="N65" s="4"/>
      <c r="O65" s="4">
        <v>0</v>
      </c>
      <c r="P65" s="4">
        <v>0</v>
      </c>
      <c r="Q65" s="4"/>
      <c r="R65" s="29"/>
      <c r="S65" s="4"/>
      <c r="T65" s="32"/>
      <c r="U65" s="29"/>
      <c r="V65" s="4">
        <v>1</v>
      </c>
      <c r="W65" s="29"/>
      <c r="X65" s="4" t="s">
        <v>126</v>
      </c>
      <c r="Y65" s="4">
        <v>4</v>
      </c>
      <c r="Z65" s="29"/>
      <c r="AA65" s="4"/>
      <c r="AB65" s="4" t="s">
        <v>70</v>
      </c>
      <c r="AC65" s="4" t="s">
        <v>70</v>
      </c>
      <c r="AD65" s="23" t="s">
        <v>205</v>
      </c>
      <c r="AE65" s="23" t="s">
        <v>72</v>
      </c>
      <c r="AF65" s="24" t="s">
        <v>73</v>
      </c>
      <c r="AG65" s="4" t="s">
        <v>74</v>
      </c>
      <c r="AH65" s="4">
        <v>2.77</v>
      </c>
      <c r="AI65" s="4" t="s">
        <v>74</v>
      </c>
      <c r="AJ65" s="4">
        <v>2.86</v>
      </c>
      <c r="AK65" s="4" t="s">
        <v>75</v>
      </c>
      <c r="AL65" s="64">
        <v>0</v>
      </c>
      <c r="AM65" s="67">
        <v>0</v>
      </c>
      <c r="AN65" s="13" t="s">
        <v>76</v>
      </c>
      <c r="AO65" s="13" t="s">
        <v>76</v>
      </c>
      <c r="AP65" s="14" t="s">
        <v>76</v>
      </c>
      <c r="AQ65" s="14" t="s">
        <v>76</v>
      </c>
      <c r="AR65" s="13" t="s">
        <v>76</v>
      </c>
      <c r="AS65" s="35" t="s">
        <v>76</v>
      </c>
      <c r="AT65" s="4" t="s">
        <v>76</v>
      </c>
      <c r="AU65" s="4" t="s">
        <v>76</v>
      </c>
      <c r="AV65" s="4" t="s">
        <v>76</v>
      </c>
      <c r="AW65" s="4" t="s">
        <v>76</v>
      </c>
      <c r="AX65" s="4" t="s">
        <v>76</v>
      </c>
      <c r="AY65" s="4" t="s">
        <v>76</v>
      </c>
      <c r="AZ65" s="4" t="s">
        <v>76</v>
      </c>
      <c r="BA65" s="4" t="s">
        <v>76</v>
      </c>
      <c r="BB65" s="34">
        <v>2.4688299609262674</v>
      </c>
      <c r="BC65" s="13">
        <v>0.46534399277030236</v>
      </c>
      <c r="BD65" s="13">
        <v>0.30587065805586094</v>
      </c>
      <c r="BE65" s="13">
        <v>4.5450798693644275E-2</v>
      </c>
      <c r="BF65" s="14">
        <v>1</v>
      </c>
      <c r="BG65" s="14">
        <v>1</v>
      </c>
      <c r="BH65" s="14">
        <v>1</v>
      </c>
      <c r="BI65" s="14">
        <v>1</v>
      </c>
      <c r="BJ65" s="14" t="s">
        <v>99</v>
      </c>
      <c r="BK65" s="77"/>
      <c r="BL65" s="75"/>
      <c r="BM65" s="4"/>
      <c r="BN65" s="4"/>
      <c r="BO65" s="4"/>
      <c r="BP65" s="4"/>
    </row>
    <row r="66" spans="1:68" ht="16" x14ac:dyDescent="0.45">
      <c r="A66" s="11">
        <v>746</v>
      </c>
      <c r="B66" t="s">
        <v>206</v>
      </c>
      <c r="D66" s="4">
        <v>1</v>
      </c>
      <c r="E66" s="4" t="s">
        <v>89</v>
      </c>
      <c r="F66" s="4" t="s">
        <v>107</v>
      </c>
      <c r="G66" s="4"/>
      <c r="H66" s="4"/>
      <c r="I66" s="4"/>
      <c r="J66" s="55">
        <v>1</v>
      </c>
      <c r="K66" s="56">
        <v>1</v>
      </c>
      <c r="L66" s="4">
        <v>1</v>
      </c>
      <c r="M66" s="4"/>
      <c r="N66" s="4">
        <v>1</v>
      </c>
      <c r="O66" s="4">
        <v>0</v>
      </c>
      <c r="P66" s="4">
        <v>0</v>
      </c>
      <c r="Q66" s="4"/>
      <c r="R66" s="29">
        <v>1</v>
      </c>
      <c r="S66" s="4" t="s">
        <v>207</v>
      </c>
      <c r="T66" s="32"/>
      <c r="U66" s="29">
        <v>1</v>
      </c>
      <c r="V66" s="4"/>
      <c r="W66" s="29"/>
      <c r="X66" s="4">
        <v>1</v>
      </c>
      <c r="Y66" s="4">
        <v>1</v>
      </c>
      <c r="Z66" s="29" t="s">
        <v>91</v>
      </c>
      <c r="AA66" s="4"/>
      <c r="AB66" s="4" t="s">
        <v>91</v>
      </c>
      <c r="AC66" s="4" t="s">
        <v>91</v>
      </c>
      <c r="AD66" s="23" t="s">
        <v>97</v>
      </c>
      <c r="AE66" s="23" t="s">
        <v>72</v>
      </c>
      <c r="AF66" s="24" t="s">
        <v>111</v>
      </c>
      <c r="AG66" s="4" t="s">
        <v>98</v>
      </c>
      <c r="AH66" s="4">
        <v>3.72</v>
      </c>
      <c r="AI66" s="4" t="s">
        <v>84</v>
      </c>
      <c r="AJ66" s="4">
        <v>3.55</v>
      </c>
      <c r="AK66" s="4" t="s">
        <v>103</v>
      </c>
      <c r="AL66" s="64">
        <v>9.1</v>
      </c>
      <c r="AM66" s="67">
        <v>2.132000000000005</v>
      </c>
      <c r="AN66" s="13">
        <v>19.0259080062674</v>
      </c>
      <c r="AO66" s="13">
        <v>48.772737574794093</v>
      </c>
      <c r="AP66" s="14">
        <v>2</v>
      </c>
      <c r="AQ66" s="14">
        <v>3</v>
      </c>
      <c r="AR66" s="13">
        <f>Table1[[#This Row],[Share of Domestic Debt (2023)]]-Table1[[#This Row],[Share of Domestic Debt (2005)]]</f>
        <v>29.746829568526692</v>
      </c>
      <c r="AS66" s="35" t="s">
        <v>104</v>
      </c>
      <c r="AT66" s="4" t="s">
        <v>86</v>
      </c>
      <c r="AU66" s="4">
        <v>1</v>
      </c>
      <c r="AV66" s="4">
        <v>20.399999999999999</v>
      </c>
      <c r="AW66" s="4">
        <v>2.2000000000000002</v>
      </c>
      <c r="AX66" s="4">
        <v>7.2</v>
      </c>
      <c r="AY66" s="4">
        <v>42.7</v>
      </c>
      <c r="AZ66" s="4">
        <v>2.4</v>
      </c>
      <c r="BA66" s="4">
        <v>25.2</v>
      </c>
      <c r="BB66" s="34">
        <v>8.7766638268449526</v>
      </c>
      <c r="BC66" s="13">
        <v>7.5951746145022936</v>
      </c>
      <c r="BD66" s="13">
        <v>17.858714767786935</v>
      </c>
      <c r="BE66" s="13">
        <v>24.747589148434209</v>
      </c>
      <c r="BF66" s="14">
        <v>3</v>
      </c>
      <c r="BG66" s="14">
        <v>4</v>
      </c>
      <c r="BH66" s="14">
        <v>4</v>
      </c>
      <c r="BI66" s="14">
        <v>4</v>
      </c>
      <c r="BJ66" s="14" t="s">
        <v>95</v>
      </c>
      <c r="BK66" s="77" t="s">
        <v>144</v>
      </c>
      <c r="BL66" s="75"/>
      <c r="BM66" s="4"/>
      <c r="BN66" s="4"/>
      <c r="BO66" s="4"/>
      <c r="BP66" s="4"/>
    </row>
    <row r="67" spans="1:68" ht="16" x14ac:dyDescent="0.45">
      <c r="A67" s="11">
        <v>927</v>
      </c>
      <c r="B67" t="s">
        <v>208</v>
      </c>
      <c r="D67" s="4">
        <v>1</v>
      </c>
      <c r="E67" s="4" t="s">
        <v>69</v>
      </c>
      <c r="F67" s="4"/>
      <c r="G67" s="4"/>
      <c r="H67" s="4"/>
      <c r="I67" s="4"/>
      <c r="J67" s="55"/>
      <c r="K67" s="56"/>
      <c r="L67" s="4">
        <v>0</v>
      </c>
      <c r="M67" s="4"/>
      <c r="N67" s="4"/>
      <c r="O67" s="4">
        <v>0</v>
      </c>
      <c r="P67" s="4">
        <v>0</v>
      </c>
      <c r="Q67" s="4"/>
      <c r="R67" s="29"/>
      <c r="S67" s="4"/>
      <c r="T67" s="32"/>
      <c r="U67" s="29"/>
      <c r="V67" s="4">
        <v>1</v>
      </c>
      <c r="W67" s="29">
        <v>1</v>
      </c>
      <c r="X67" s="4" t="s">
        <v>80</v>
      </c>
      <c r="Y67" s="4">
        <v>3</v>
      </c>
      <c r="Z67" s="29"/>
      <c r="AA67" s="4"/>
      <c r="AB67" s="4" t="s">
        <v>81</v>
      </c>
      <c r="AC67" s="4" t="s">
        <v>81</v>
      </c>
      <c r="AD67" s="23" t="s">
        <v>132</v>
      </c>
      <c r="AE67" s="23" t="s">
        <v>72</v>
      </c>
      <c r="AF67" s="24" t="s">
        <v>83</v>
      </c>
      <c r="AG67" s="4" t="s">
        <v>76</v>
      </c>
      <c r="AH67" s="4">
        <v>3.38</v>
      </c>
      <c r="AI67" s="4" t="s">
        <v>98</v>
      </c>
      <c r="AJ67" s="4">
        <v>3.84</v>
      </c>
      <c r="AK67" s="4" t="s">
        <v>76</v>
      </c>
      <c r="AL67" s="64">
        <v>4.2750000000000004</v>
      </c>
      <c r="AM67" s="67">
        <v>1.2749999999999986</v>
      </c>
      <c r="AN67" s="13">
        <v>0</v>
      </c>
      <c r="AO67" s="13">
        <v>8.0478384785520234</v>
      </c>
      <c r="AP67" s="14">
        <v>1</v>
      </c>
      <c r="AQ67" s="14">
        <v>1</v>
      </c>
      <c r="AR67" s="13">
        <f>Table1[[#This Row],[Share of Domestic Debt (2023)]]-Table1[[#This Row],[Share of Domestic Debt (2005)]]</f>
        <v>8.0478384785520234</v>
      </c>
      <c r="AS67" s="35" t="s">
        <v>85</v>
      </c>
      <c r="AT67" s="4" t="s">
        <v>86</v>
      </c>
      <c r="AU67" s="4">
        <v>1</v>
      </c>
      <c r="AV67" s="4">
        <v>16.399999999999999</v>
      </c>
      <c r="AW67" s="4">
        <v>12.5</v>
      </c>
      <c r="AX67" s="4">
        <v>18.7</v>
      </c>
      <c r="AY67" s="4">
        <v>17.3</v>
      </c>
      <c r="AZ67" s="4">
        <v>0</v>
      </c>
      <c r="BA67" s="4">
        <v>35.1</v>
      </c>
      <c r="BB67" s="34">
        <v>1.0626467365817773</v>
      </c>
      <c r="BC67" s="13">
        <v>1.3468316907304136</v>
      </c>
      <c r="BD67" s="13">
        <v>5.1927300407092138</v>
      </c>
      <c r="BE67" s="13">
        <v>4.8663464839159944</v>
      </c>
      <c r="BF67" s="14">
        <v>1</v>
      </c>
      <c r="BG67" s="14">
        <v>2</v>
      </c>
      <c r="BH67" s="14">
        <v>1</v>
      </c>
      <c r="BI67" s="14">
        <v>2</v>
      </c>
      <c r="BJ67" s="14" t="s">
        <v>95</v>
      </c>
      <c r="BK67" s="77"/>
      <c r="BL67" s="75"/>
      <c r="BM67" s="4"/>
      <c r="BN67" s="4"/>
      <c r="BO67" s="4"/>
      <c r="BP67" s="4"/>
    </row>
    <row r="68" spans="1:68" ht="16" x14ac:dyDescent="0.45">
      <c r="A68" s="11">
        <v>846</v>
      </c>
      <c r="B68" t="s">
        <v>209</v>
      </c>
      <c r="D68" s="4">
        <v>1</v>
      </c>
      <c r="E68" s="4" t="s">
        <v>79</v>
      </c>
      <c r="F68" s="4"/>
      <c r="G68" s="4"/>
      <c r="H68" s="4"/>
      <c r="I68" s="4">
        <v>1</v>
      </c>
      <c r="J68" s="55"/>
      <c r="K68" s="56"/>
      <c r="L68" s="4">
        <v>0</v>
      </c>
      <c r="M68" s="4"/>
      <c r="N68" s="4"/>
      <c r="O68" s="4">
        <v>0</v>
      </c>
      <c r="P68" s="4">
        <v>0</v>
      </c>
      <c r="Q68" s="4"/>
      <c r="R68" s="29"/>
      <c r="S68" s="4"/>
      <c r="T68" s="32"/>
      <c r="U68" s="29"/>
      <c r="V68" s="4">
        <v>1</v>
      </c>
      <c r="W68" s="29"/>
      <c r="X68" s="4" t="s">
        <v>80</v>
      </c>
      <c r="Y68" s="4">
        <v>3</v>
      </c>
      <c r="Z68" s="29"/>
      <c r="AA68" s="4"/>
      <c r="AB68" s="4" t="s">
        <v>70</v>
      </c>
      <c r="AC68" s="4" t="s">
        <v>70</v>
      </c>
      <c r="AD68" s="23" t="s">
        <v>210</v>
      </c>
      <c r="AE68" s="23" t="s">
        <v>72</v>
      </c>
      <c r="AF68" s="24" t="s">
        <v>111</v>
      </c>
      <c r="AG68" s="4" t="s">
        <v>84</v>
      </c>
      <c r="AH68" s="4">
        <v>3.44</v>
      </c>
      <c r="AI68" s="4" t="s">
        <v>84</v>
      </c>
      <c r="AJ68" s="4">
        <v>3.3</v>
      </c>
      <c r="AK68" s="4" t="s">
        <v>75</v>
      </c>
      <c r="AL68" s="64">
        <v>11.566666666666666</v>
      </c>
      <c r="AM68" s="67">
        <v>0</v>
      </c>
      <c r="AN68" s="13">
        <v>28.074670780480929</v>
      </c>
      <c r="AO68" s="13">
        <v>22.941310910821329</v>
      </c>
      <c r="AP68" s="14">
        <v>3</v>
      </c>
      <c r="AQ68" s="14">
        <v>1</v>
      </c>
      <c r="AR68" s="13">
        <f>Table1[[#This Row],[Share of Domestic Debt (2023)]]-Table1[[#This Row],[Share of Domestic Debt (2005)]]</f>
        <v>-5.1333598696595999</v>
      </c>
      <c r="AS68" s="35" t="s">
        <v>112</v>
      </c>
      <c r="AT68" s="4" t="s">
        <v>116</v>
      </c>
      <c r="AU68" s="4">
        <v>1</v>
      </c>
      <c r="AV68" s="4">
        <v>47.3</v>
      </c>
      <c r="AW68" s="4">
        <v>0</v>
      </c>
      <c r="AX68" s="4">
        <v>16.5</v>
      </c>
      <c r="AY68" s="4">
        <v>17.5</v>
      </c>
      <c r="AZ68" s="4">
        <v>0</v>
      </c>
      <c r="BA68" s="4">
        <v>18.600000000000001</v>
      </c>
      <c r="BB68" s="34">
        <v>1.7286981926769598</v>
      </c>
      <c r="BC68" s="13">
        <v>4.0195668729275642</v>
      </c>
      <c r="BD68" s="13">
        <v>6.1088553620911732</v>
      </c>
      <c r="BE68" s="13">
        <v>3.0327423506448183</v>
      </c>
      <c r="BF68" s="14">
        <v>2</v>
      </c>
      <c r="BG68" s="14">
        <v>1</v>
      </c>
      <c r="BH68" s="14">
        <v>1</v>
      </c>
      <c r="BI68" s="14">
        <v>3</v>
      </c>
      <c r="BJ68" s="14" t="s">
        <v>100</v>
      </c>
      <c r="BK68" s="77"/>
      <c r="BL68" s="75"/>
      <c r="BM68" s="4"/>
      <c r="BN68" s="4"/>
      <c r="BO68" s="4"/>
      <c r="BP68" s="4"/>
    </row>
    <row r="69" spans="1:68" ht="16" x14ac:dyDescent="0.45">
      <c r="A69" s="11">
        <v>474</v>
      </c>
      <c r="B69" t="s">
        <v>211</v>
      </c>
      <c r="D69" s="4">
        <v>1</v>
      </c>
      <c r="E69" s="4" t="s">
        <v>69</v>
      </c>
      <c r="F69" s="4"/>
      <c r="G69" s="4">
        <v>1</v>
      </c>
      <c r="H69" s="4">
        <v>1</v>
      </c>
      <c r="I69" s="4"/>
      <c r="J69" s="55"/>
      <c r="K69" s="56"/>
      <c r="L69" s="4">
        <v>1</v>
      </c>
      <c r="M69" s="4"/>
      <c r="N69" s="4">
        <v>2</v>
      </c>
      <c r="O69" s="4">
        <v>1</v>
      </c>
      <c r="P69" s="4">
        <v>1</v>
      </c>
      <c r="Q69" s="4"/>
      <c r="R69" s="29"/>
      <c r="S69" s="4"/>
      <c r="T69" s="32"/>
      <c r="U69" s="29">
        <v>1</v>
      </c>
      <c r="V69" s="4"/>
      <c r="W69" s="29"/>
      <c r="X69" s="4">
        <v>1</v>
      </c>
      <c r="Y69" s="4">
        <v>1</v>
      </c>
      <c r="Z69" s="29"/>
      <c r="AA69" s="4"/>
      <c r="AB69" s="4" t="s">
        <v>142</v>
      </c>
      <c r="AC69" s="4" t="s">
        <v>142</v>
      </c>
      <c r="AD69" s="23" t="s">
        <v>142</v>
      </c>
      <c r="AE69" s="23" t="s">
        <v>72</v>
      </c>
      <c r="AF69" s="24" t="s">
        <v>76</v>
      </c>
      <c r="AG69" s="4" t="s">
        <v>74</v>
      </c>
      <c r="AH69" s="4">
        <v>2.99</v>
      </c>
      <c r="AI69" s="4" t="s">
        <v>76</v>
      </c>
      <c r="AJ69" s="4">
        <v>1.84</v>
      </c>
      <c r="AK69" s="4" t="s">
        <v>76</v>
      </c>
      <c r="AL69" s="62" t="s">
        <v>76</v>
      </c>
      <c r="AM69" s="67" t="s">
        <v>76</v>
      </c>
      <c r="AN69" s="13">
        <v>33.175500511096303</v>
      </c>
      <c r="AO69" s="13">
        <v>57.347225188868364</v>
      </c>
      <c r="AP69" s="14">
        <v>3</v>
      </c>
      <c r="AQ69" s="14">
        <v>4</v>
      </c>
      <c r="AR69" s="13">
        <f>Table1[[#This Row],[Share of Domestic Debt (2023)]]-Table1[[#This Row],[Share of Domestic Debt (2005)]]</f>
        <v>24.171724677772062</v>
      </c>
      <c r="AS69" s="35" t="s">
        <v>94</v>
      </c>
      <c r="AT69" s="4" t="s">
        <v>77</v>
      </c>
      <c r="AU69" s="4">
        <v>0</v>
      </c>
      <c r="AV69" s="4">
        <v>3</v>
      </c>
      <c r="AW69" s="4">
        <v>0</v>
      </c>
      <c r="AX69" s="4">
        <v>48.8</v>
      </c>
      <c r="AY69" s="4">
        <v>24.5</v>
      </c>
      <c r="AZ69" s="4">
        <v>0</v>
      </c>
      <c r="BA69" s="4">
        <v>23.7</v>
      </c>
      <c r="BB69" s="34">
        <v>5.2639325671246535</v>
      </c>
      <c r="BC69" s="13">
        <v>6.1600587895348928</v>
      </c>
      <c r="BD69" s="13">
        <v>23.830561980848454</v>
      </c>
      <c r="BE69" s="13">
        <v>25.637437224623522</v>
      </c>
      <c r="BF69" s="14">
        <v>3</v>
      </c>
      <c r="BG69" s="14">
        <v>4</v>
      </c>
      <c r="BH69" s="14">
        <v>3</v>
      </c>
      <c r="BI69" s="14">
        <v>4</v>
      </c>
      <c r="BJ69" s="14" t="s">
        <v>95</v>
      </c>
      <c r="BK69" s="77"/>
      <c r="BL69" s="75"/>
      <c r="BM69" s="4"/>
      <c r="BN69" s="4"/>
      <c r="BO69" s="4"/>
      <c r="BP69" s="4"/>
    </row>
    <row r="70" spans="1:68" ht="16" x14ac:dyDescent="0.45">
      <c r="A70" s="11">
        <v>754</v>
      </c>
      <c r="B70" t="s">
        <v>212</v>
      </c>
      <c r="D70" s="4">
        <v>1</v>
      </c>
      <c r="E70" s="4" t="s">
        <v>89</v>
      </c>
      <c r="F70" s="4"/>
      <c r="G70" s="4">
        <v>1</v>
      </c>
      <c r="H70" s="4"/>
      <c r="I70" s="4"/>
      <c r="J70" s="55"/>
      <c r="K70" s="56"/>
      <c r="L70" s="4">
        <v>1</v>
      </c>
      <c r="M70" s="4">
        <v>1</v>
      </c>
      <c r="N70" s="4">
        <v>2</v>
      </c>
      <c r="O70" s="4">
        <v>1</v>
      </c>
      <c r="P70" s="4">
        <v>1</v>
      </c>
      <c r="Q70" s="4"/>
      <c r="R70" s="29">
        <v>1</v>
      </c>
      <c r="S70" s="4">
        <v>2005</v>
      </c>
      <c r="T70" s="33">
        <v>1</v>
      </c>
      <c r="U70" s="29">
        <v>1</v>
      </c>
      <c r="V70" s="4"/>
      <c r="W70" s="29">
        <v>1</v>
      </c>
      <c r="X70" s="4">
        <v>1</v>
      </c>
      <c r="Y70" s="4">
        <v>1</v>
      </c>
      <c r="Z70" s="29"/>
      <c r="AA70" s="4"/>
      <c r="AB70" s="4" t="s">
        <v>127</v>
      </c>
      <c r="AC70" s="4" t="s">
        <v>127</v>
      </c>
      <c r="AD70" s="23" t="s">
        <v>82</v>
      </c>
      <c r="AE70" s="23" t="s">
        <v>123</v>
      </c>
      <c r="AF70" s="24" t="s">
        <v>111</v>
      </c>
      <c r="AG70" s="4" t="s">
        <v>84</v>
      </c>
      <c r="AH70" s="4">
        <v>3.46</v>
      </c>
      <c r="AI70" s="4" t="s">
        <v>74</v>
      </c>
      <c r="AJ70" s="4">
        <v>3.24</v>
      </c>
      <c r="AK70" s="4" t="s">
        <v>103</v>
      </c>
      <c r="AL70" s="64">
        <v>8.6666666666666679</v>
      </c>
      <c r="AM70" s="67">
        <v>1.3966666666666683</v>
      </c>
      <c r="AN70" s="13">
        <v>52.01925453465001</v>
      </c>
      <c r="AO70" s="13">
        <v>45.442133420227513</v>
      </c>
      <c r="AP70" s="14">
        <v>4</v>
      </c>
      <c r="AQ70" s="14">
        <v>3</v>
      </c>
      <c r="AR70" s="13">
        <f>Table1[[#This Row],[Share of Domestic Debt (2023)]]-Table1[[#This Row],[Share of Domestic Debt (2005)]]</f>
        <v>-6.5771211144224964</v>
      </c>
      <c r="AS70" s="35" t="s">
        <v>112</v>
      </c>
      <c r="AT70" s="4" t="s">
        <v>124</v>
      </c>
      <c r="AU70" s="4">
        <v>1</v>
      </c>
      <c r="AV70" s="4">
        <v>35.299999999999997</v>
      </c>
      <c r="AW70" s="4">
        <v>38.200000000000003</v>
      </c>
      <c r="AX70" s="4">
        <v>6</v>
      </c>
      <c r="AY70" s="4">
        <v>10.4</v>
      </c>
      <c r="AZ70" s="4">
        <v>1.3</v>
      </c>
      <c r="BA70" s="4">
        <v>8.8000000000000007</v>
      </c>
      <c r="BB70" s="34">
        <v>6.8475234311039381</v>
      </c>
      <c r="BC70" s="13">
        <v>11.577584813854992</v>
      </c>
      <c r="BD70" s="13">
        <v>10.941602586606608</v>
      </c>
      <c r="BE70" s="13">
        <v>25.37328787860746</v>
      </c>
      <c r="BF70" s="14">
        <v>4</v>
      </c>
      <c r="BG70" s="14">
        <v>4</v>
      </c>
      <c r="BH70" s="14">
        <v>3</v>
      </c>
      <c r="BI70" s="14">
        <v>4</v>
      </c>
      <c r="BJ70" s="14" t="s">
        <v>95</v>
      </c>
      <c r="BK70" s="77" t="s">
        <v>144</v>
      </c>
      <c r="BL70" s="75"/>
      <c r="BM70" s="4">
        <v>1</v>
      </c>
      <c r="BN70" s="79">
        <v>1</v>
      </c>
      <c r="BO70" s="4"/>
      <c r="BP70" s="4"/>
    </row>
    <row r="71" spans="1:68" ht="16" x14ac:dyDescent="0.45">
      <c r="A71" s="11">
        <v>698</v>
      </c>
      <c r="B71" t="s">
        <v>213</v>
      </c>
      <c r="D71" s="4">
        <v>1</v>
      </c>
      <c r="E71" s="4" t="s">
        <v>89</v>
      </c>
      <c r="F71" s="4"/>
      <c r="G71" s="4">
        <v>1</v>
      </c>
      <c r="H71" s="4">
        <v>1</v>
      </c>
      <c r="I71" s="4"/>
      <c r="J71" s="59"/>
      <c r="K71" s="60"/>
      <c r="L71" s="4">
        <v>0</v>
      </c>
      <c r="M71" s="4"/>
      <c r="N71" s="4"/>
      <c r="O71" s="4">
        <v>0</v>
      </c>
      <c r="P71" s="4">
        <v>0</v>
      </c>
      <c r="Q71" s="4"/>
      <c r="R71" s="29"/>
      <c r="S71" s="4"/>
      <c r="T71" s="32">
        <v>1</v>
      </c>
      <c r="U71" s="29">
        <v>0</v>
      </c>
      <c r="V71" s="4">
        <v>0</v>
      </c>
      <c r="W71" s="29"/>
      <c r="X71" s="4" t="s">
        <v>126</v>
      </c>
      <c r="Y71" s="4">
        <v>2</v>
      </c>
      <c r="Z71" s="29" t="s">
        <v>70</v>
      </c>
      <c r="AA71" s="4"/>
      <c r="AB71" s="4" t="s">
        <v>127</v>
      </c>
      <c r="AC71" s="4" t="s">
        <v>127</v>
      </c>
      <c r="AD71" s="23" t="s">
        <v>132</v>
      </c>
      <c r="AE71" s="23" t="s">
        <v>123</v>
      </c>
      <c r="AF71" s="24" t="s">
        <v>197</v>
      </c>
      <c r="AG71" s="4" t="s">
        <v>74</v>
      </c>
      <c r="AH71" s="4">
        <v>2.23</v>
      </c>
      <c r="AI71" s="4" t="s">
        <v>74</v>
      </c>
      <c r="AJ71" s="4">
        <v>2.98</v>
      </c>
      <c r="AK71" s="4" t="s">
        <v>75</v>
      </c>
      <c r="AL71" s="65">
        <v>5.9</v>
      </c>
      <c r="AM71" s="69">
        <v>4.1000000000000014</v>
      </c>
      <c r="AN71" s="13">
        <v>0</v>
      </c>
      <c r="AO71" s="13">
        <v>75.878022329268191</v>
      </c>
      <c r="AP71" s="14">
        <v>1</v>
      </c>
      <c r="AQ71" s="14">
        <v>4</v>
      </c>
      <c r="AR71" s="13">
        <f>Table1[[#This Row],[Share of Domestic Debt (2023)]]-Table1[[#This Row],[Share of Domestic Debt (2005)]]</f>
        <v>75.878022329268191</v>
      </c>
      <c r="AS71" s="39" t="s">
        <v>104</v>
      </c>
      <c r="AT71" s="4" t="s">
        <v>116</v>
      </c>
      <c r="AU71" s="4">
        <v>1</v>
      </c>
      <c r="AV71" s="4">
        <v>32</v>
      </c>
      <c r="AW71" s="4">
        <v>11.7</v>
      </c>
      <c r="AX71" s="4">
        <v>25.3</v>
      </c>
      <c r="AY71" s="4">
        <v>20.2</v>
      </c>
      <c r="AZ71" s="4">
        <v>1.9</v>
      </c>
      <c r="BA71" s="4">
        <v>8.9</v>
      </c>
      <c r="BB71" s="34">
        <v>11.999073708525463</v>
      </c>
      <c r="BC71" s="13">
        <v>24.194779870746316</v>
      </c>
      <c r="BD71" s="13">
        <v>3.7532431769455803</v>
      </c>
      <c r="BE71" s="13">
        <v>5.176067633088409</v>
      </c>
      <c r="BF71" s="14">
        <v>4</v>
      </c>
      <c r="BG71" s="14">
        <v>2</v>
      </c>
      <c r="BH71" s="14">
        <v>4</v>
      </c>
      <c r="BI71" s="38">
        <v>2</v>
      </c>
      <c r="BJ71" s="38" t="s">
        <v>130</v>
      </c>
      <c r="BK71" s="78"/>
      <c r="BL71" s="75"/>
      <c r="BM71" s="4"/>
      <c r="BN71" s="4"/>
      <c r="BO71" s="4"/>
      <c r="BP71" s="4"/>
    </row>
    <row r="74" spans="1:68" ht="13" x14ac:dyDescent="0.3">
      <c r="B74" s="3" t="s">
        <v>214</v>
      </c>
      <c r="C74" s="3"/>
      <c r="D74" s="3"/>
      <c r="E74" s="3"/>
      <c r="F74" s="3"/>
    </row>
    <row r="75" spans="1:68" ht="13" x14ac:dyDescent="0.3">
      <c r="B75" s="3" t="s">
        <v>215</v>
      </c>
      <c r="C75" s="3"/>
      <c r="D75" s="3"/>
      <c r="E75" t="s">
        <v>216</v>
      </c>
    </row>
    <row r="76" spans="1:68" ht="13" x14ac:dyDescent="0.25">
      <c r="B76" s="5" t="s">
        <v>217</v>
      </c>
      <c r="C76" s="5"/>
      <c r="D76" s="5"/>
      <c r="E76" s="7" t="s">
        <v>218</v>
      </c>
      <c r="F76" s="7"/>
    </row>
    <row r="77" spans="1:68" ht="13" x14ac:dyDescent="0.25">
      <c r="B77" s="5" t="s">
        <v>219</v>
      </c>
      <c r="C77" s="5"/>
      <c r="D77" s="5"/>
      <c r="E77" s="7" t="s">
        <v>220</v>
      </c>
      <c r="F77" s="7"/>
    </row>
    <row r="78" spans="1:68" ht="13" x14ac:dyDescent="0.3">
      <c r="B78" s="6" t="s">
        <v>221</v>
      </c>
      <c r="C78" s="6"/>
      <c r="D78" s="6"/>
      <c r="E78" s="7" t="s">
        <v>222</v>
      </c>
      <c r="F78" s="7"/>
    </row>
    <row r="79" spans="1:68" ht="225" x14ac:dyDescent="0.25">
      <c r="B79" s="5" t="s">
        <v>223</v>
      </c>
      <c r="C79" s="5"/>
      <c r="D79" s="5"/>
      <c r="E79" s="107" t="s">
        <v>224</v>
      </c>
      <c r="F79" s="7"/>
    </row>
    <row r="81" spans="2:6" x14ac:dyDescent="0.25">
      <c r="B81" s="8"/>
      <c r="C81" s="8"/>
      <c r="D81" s="8"/>
      <c r="E81" s="7" t="s">
        <v>225</v>
      </c>
      <c r="F81" s="7"/>
    </row>
    <row r="82" spans="2:6" x14ac:dyDescent="0.25">
      <c r="B82" s="80"/>
      <c r="C82" s="80"/>
      <c r="D82" s="80"/>
      <c r="E82" s="7" t="s">
        <v>226</v>
      </c>
    </row>
  </sheetData>
  <phoneticPr fontId="4" type="noConversion"/>
  <conditionalFormatting sqref="AL2:AL71">
    <cfRule type="aboveAverage" dxfId="5" priority="2" aboveAverage="0"/>
    <cfRule type="aboveAverage" dxfId="4" priority="3"/>
  </conditionalFormatting>
  <conditionalFormatting sqref="AM3:AM71">
    <cfRule type="cellIs" dxfId="3" priority="1" operator="greaterThan">
      <formula>0</formula>
    </cfRule>
  </conditionalFormatting>
  <pageMargins left="0.7" right="0.7" top="0.75" bottom="0.75" header="0.3" footer="0.3"/>
  <pageSetup scale="51" fitToHeight="0" orientation="landscape"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E1AA2-08AC-4D5D-94CB-0DA25EC71440}">
  <sheetPr filterMode="1">
    <tabColor rgb="FF00B0F0"/>
    <pageSetUpPr fitToPage="1"/>
  </sheetPr>
  <dimension ref="A1:U41"/>
  <sheetViews>
    <sheetView workbookViewId="0">
      <pane xSplit="2" ySplit="1" topLeftCell="C2" activePane="bottomRight" state="frozen"/>
      <selection pane="topRight"/>
      <selection pane="bottomLeft"/>
      <selection pane="bottomRight" sqref="A1:XFD29"/>
    </sheetView>
  </sheetViews>
  <sheetFormatPr defaultRowHeight="12.75" customHeight="1" x14ac:dyDescent="0.25"/>
  <cols>
    <col min="1" max="1" width="9.54296875" style="92" bestFit="1" customWidth="1"/>
    <col min="2" max="2" width="12.26953125" bestFit="1" customWidth="1"/>
    <col min="3" max="3" width="11.453125" bestFit="1" customWidth="1"/>
    <col min="8" max="8" width="12.453125" bestFit="1" customWidth="1"/>
    <col min="11" max="11" width="14.1796875" bestFit="1" customWidth="1"/>
    <col min="12" max="12" width="12.81640625" bestFit="1" customWidth="1"/>
    <col min="13" max="18" width="12.81640625" customWidth="1"/>
  </cols>
  <sheetData>
    <row r="1" spans="1:21" ht="12.5" x14ac:dyDescent="0.25">
      <c r="A1" s="91" t="s">
        <v>227</v>
      </c>
      <c r="B1" s="81" t="s">
        <v>228</v>
      </c>
      <c r="C1" s="81" t="s">
        <v>4</v>
      </c>
      <c r="D1" s="81" t="s">
        <v>3</v>
      </c>
      <c r="E1" s="81" t="s">
        <v>8</v>
      </c>
      <c r="F1" s="81" t="s">
        <v>7</v>
      </c>
      <c r="G1" s="81" t="s">
        <v>6</v>
      </c>
      <c r="H1" s="81" t="s">
        <v>229</v>
      </c>
      <c r="I1" s="81" t="s">
        <v>230</v>
      </c>
      <c r="J1" s="81" t="s">
        <v>231</v>
      </c>
      <c r="K1" s="81" t="s">
        <v>232</v>
      </c>
      <c r="L1" s="81" t="s">
        <v>36</v>
      </c>
      <c r="M1" s="81" t="s">
        <v>233</v>
      </c>
      <c r="N1" s="81" t="s">
        <v>234</v>
      </c>
      <c r="O1" s="81" t="s">
        <v>235</v>
      </c>
      <c r="P1" s="81" t="s">
        <v>236</v>
      </c>
      <c r="Q1" s="81" t="s">
        <v>237</v>
      </c>
      <c r="R1" s="81" t="s">
        <v>238</v>
      </c>
      <c r="S1" s="93" t="s">
        <v>239</v>
      </c>
      <c r="T1" s="93" t="s">
        <v>240</v>
      </c>
      <c r="U1" s="93" t="s">
        <v>241</v>
      </c>
    </row>
    <row r="2" spans="1:21" ht="16" hidden="1" x14ac:dyDescent="0.3">
      <c r="A2" s="94"/>
      <c r="B2" s="81" t="s">
        <v>101</v>
      </c>
      <c r="C2" s="86" t="s">
        <v>89</v>
      </c>
      <c r="D2" s="86">
        <v>1</v>
      </c>
      <c r="E2" s="81">
        <v>0</v>
      </c>
      <c r="F2" s="81">
        <v>1</v>
      </c>
      <c r="G2" s="81">
        <v>1</v>
      </c>
      <c r="H2" s="81">
        <v>1</v>
      </c>
      <c r="I2" s="81">
        <v>1</v>
      </c>
      <c r="J2" s="81">
        <v>0</v>
      </c>
      <c r="K2" s="87" t="s">
        <v>93</v>
      </c>
      <c r="L2" s="81" t="s">
        <v>103</v>
      </c>
      <c r="M2" s="29"/>
      <c r="N2" s="4" t="s">
        <v>86</v>
      </c>
      <c r="O2" s="4">
        <v>2.4</v>
      </c>
      <c r="P2" s="4">
        <v>0.6</v>
      </c>
      <c r="Q2" s="35" t="s">
        <v>104</v>
      </c>
      <c r="R2" s="13">
        <v>57.130869282768124</v>
      </c>
      <c r="S2" s="94"/>
      <c r="T2" s="94"/>
      <c r="U2" s="94"/>
    </row>
    <row r="3" spans="1:21" ht="16" x14ac:dyDescent="0.3">
      <c r="A3" s="94">
        <v>1</v>
      </c>
      <c r="B3" s="82" t="s">
        <v>121</v>
      </c>
      <c r="C3" s="84" t="s">
        <v>89</v>
      </c>
      <c r="D3" s="84">
        <v>1</v>
      </c>
      <c r="E3" s="82">
        <v>0</v>
      </c>
      <c r="F3" s="82">
        <v>1</v>
      </c>
      <c r="G3" s="82">
        <v>1</v>
      </c>
      <c r="H3" s="82">
        <v>1</v>
      </c>
      <c r="I3" s="82">
        <v>1</v>
      </c>
      <c r="J3" s="82">
        <v>1</v>
      </c>
      <c r="K3" s="97" t="s">
        <v>73</v>
      </c>
      <c r="L3" s="98" t="s">
        <v>75</v>
      </c>
      <c r="M3" s="99"/>
      <c r="N3" s="98" t="s">
        <v>124</v>
      </c>
      <c r="O3" s="98">
        <v>9.6999999999999993</v>
      </c>
      <c r="P3" s="98">
        <v>39.799999999999997</v>
      </c>
      <c r="Q3" s="100" t="s">
        <v>104</v>
      </c>
      <c r="R3" s="101">
        <v>61.878561577868595</v>
      </c>
      <c r="S3" s="94">
        <v>1</v>
      </c>
      <c r="T3" s="94">
        <v>1</v>
      </c>
      <c r="U3" s="94">
        <v>1</v>
      </c>
    </row>
    <row r="4" spans="1:21" ht="16" x14ac:dyDescent="0.3">
      <c r="A4" s="94">
        <v>1</v>
      </c>
      <c r="B4" s="82" t="s">
        <v>242</v>
      </c>
      <c r="C4" s="84" t="s">
        <v>89</v>
      </c>
      <c r="D4" s="84">
        <v>1</v>
      </c>
      <c r="E4" s="82">
        <v>0</v>
      </c>
      <c r="F4" s="82">
        <v>1</v>
      </c>
      <c r="G4" s="82">
        <v>1</v>
      </c>
      <c r="H4" s="82">
        <v>1</v>
      </c>
      <c r="I4" s="82">
        <v>1</v>
      </c>
      <c r="J4" s="82">
        <v>1</v>
      </c>
      <c r="K4" s="97" t="s">
        <v>111</v>
      </c>
      <c r="L4" s="98" t="s">
        <v>75</v>
      </c>
      <c r="M4" s="99">
        <v>1</v>
      </c>
      <c r="N4" s="98" t="s">
        <v>116</v>
      </c>
      <c r="O4" s="98">
        <v>47</v>
      </c>
      <c r="P4" s="98">
        <v>31.9</v>
      </c>
      <c r="Q4" s="100" t="s">
        <v>104</v>
      </c>
      <c r="R4" s="101">
        <v>51.381903494602447</v>
      </c>
      <c r="S4" s="94">
        <v>1</v>
      </c>
      <c r="T4" s="94">
        <v>1</v>
      </c>
      <c r="U4" s="94">
        <v>1</v>
      </c>
    </row>
    <row r="5" spans="1:21" ht="16" hidden="1" x14ac:dyDescent="0.3">
      <c r="A5" s="94"/>
      <c r="B5" s="90" t="s">
        <v>143</v>
      </c>
      <c r="C5" s="86" t="s">
        <v>89</v>
      </c>
      <c r="D5" s="86">
        <v>1</v>
      </c>
      <c r="E5" s="81">
        <v>0</v>
      </c>
      <c r="F5" s="81">
        <v>1</v>
      </c>
      <c r="G5" s="81">
        <v>0</v>
      </c>
      <c r="H5" s="81">
        <v>1</v>
      </c>
      <c r="I5" s="81">
        <v>1</v>
      </c>
      <c r="J5" s="81">
        <v>1</v>
      </c>
      <c r="K5" s="87" t="s">
        <v>111</v>
      </c>
      <c r="L5" s="81" t="s">
        <v>103</v>
      </c>
      <c r="M5" s="29">
        <v>1</v>
      </c>
      <c r="N5" s="4" t="s">
        <v>86</v>
      </c>
      <c r="O5" s="4">
        <v>29.5</v>
      </c>
      <c r="P5" s="4">
        <v>16.399999999999999</v>
      </c>
      <c r="Q5" s="35" t="s">
        <v>85</v>
      </c>
      <c r="R5" s="13">
        <v>47.113550443694997</v>
      </c>
      <c r="S5" s="94"/>
      <c r="T5" s="94"/>
      <c r="U5" s="94"/>
    </row>
    <row r="6" spans="1:21" ht="16" x14ac:dyDescent="0.3">
      <c r="A6" s="94">
        <v>1</v>
      </c>
      <c r="B6" s="82" t="s">
        <v>146</v>
      </c>
      <c r="C6" s="82" t="s">
        <v>89</v>
      </c>
      <c r="D6" s="82">
        <v>1</v>
      </c>
      <c r="E6" s="82">
        <v>0</v>
      </c>
      <c r="F6" s="82">
        <v>0</v>
      </c>
      <c r="G6" s="82">
        <v>1</v>
      </c>
      <c r="H6" s="82">
        <v>1</v>
      </c>
      <c r="I6" s="82">
        <v>1</v>
      </c>
      <c r="J6" s="82" t="s">
        <v>243</v>
      </c>
      <c r="K6" s="85" t="s">
        <v>111</v>
      </c>
      <c r="L6" s="82" t="s">
        <v>103</v>
      </c>
      <c r="M6" s="99">
        <v>1</v>
      </c>
      <c r="N6" s="98" t="s">
        <v>124</v>
      </c>
      <c r="O6" s="98">
        <v>11.1</v>
      </c>
      <c r="P6" s="98">
        <v>50.5</v>
      </c>
      <c r="Q6" s="100" t="s">
        <v>94</v>
      </c>
      <c r="R6" s="101">
        <v>51.453544519797049</v>
      </c>
      <c r="S6" s="94">
        <v>1</v>
      </c>
      <c r="T6" s="94">
        <v>1</v>
      </c>
      <c r="U6" s="94">
        <v>1</v>
      </c>
    </row>
    <row r="7" spans="1:21" ht="16" x14ac:dyDescent="0.3">
      <c r="A7" s="94">
        <v>1</v>
      </c>
      <c r="B7" s="82" t="s">
        <v>153</v>
      </c>
      <c r="C7" s="82" t="s">
        <v>89</v>
      </c>
      <c r="D7" s="82">
        <v>1</v>
      </c>
      <c r="E7" s="82">
        <v>0</v>
      </c>
      <c r="F7" s="82">
        <v>0</v>
      </c>
      <c r="G7" s="82">
        <v>0</v>
      </c>
      <c r="H7" s="82">
        <v>1</v>
      </c>
      <c r="I7" s="82">
        <v>0</v>
      </c>
      <c r="J7" s="82">
        <v>0</v>
      </c>
      <c r="K7" s="85" t="s">
        <v>111</v>
      </c>
      <c r="L7" s="82" t="s">
        <v>75</v>
      </c>
      <c r="M7" s="99">
        <v>1</v>
      </c>
      <c r="N7" s="98" t="s">
        <v>86</v>
      </c>
      <c r="O7" s="98">
        <v>21.7</v>
      </c>
      <c r="P7" s="98">
        <v>23.2</v>
      </c>
      <c r="Q7" s="100" t="s">
        <v>85</v>
      </c>
      <c r="R7" s="101">
        <v>49.198649627334049</v>
      </c>
      <c r="S7" s="94">
        <v>1</v>
      </c>
      <c r="T7" s="94">
        <v>1</v>
      </c>
      <c r="U7" s="94">
        <v>1</v>
      </c>
    </row>
    <row r="8" spans="1:21" s="3" customFormat="1" ht="16" hidden="1" x14ac:dyDescent="0.3">
      <c r="A8" s="94"/>
      <c r="B8" s="81" t="s">
        <v>160</v>
      </c>
      <c r="C8" s="86" t="s">
        <v>89</v>
      </c>
      <c r="D8" s="86">
        <v>1</v>
      </c>
      <c r="E8" s="81">
        <v>0</v>
      </c>
      <c r="F8" s="81">
        <v>0</v>
      </c>
      <c r="G8" s="81">
        <v>0</v>
      </c>
      <c r="H8" s="81">
        <v>0</v>
      </c>
      <c r="I8" s="81">
        <v>0</v>
      </c>
      <c r="J8" s="81">
        <v>0</v>
      </c>
      <c r="K8" s="87" t="s">
        <v>93</v>
      </c>
      <c r="L8" s="81" t="s">
        <v>75</v>
      </c>
      <c r="M8" s="29"/>
      <c r="N8" s="4" t="s">
        <v>86</v>
      </c>
      <c r="O8" s="4">
        <v>9.9</v>
      </c>
      <c r="P8" s="4">
        <v>0.6</v>
      </c>
      <c r="Q8" s="35" t="s">
        <v>85</v>
      </c>
      <c r="R8" s="13">
        <v>24.955280280682246</v>
      </c>
      <c r="S8" s="94"/>
      <c r="T8" s="94"/>
      <c r="U8" s="94"/>
    </row>
    <row r="9" spans="1:21" s="3" customFormat="1" ht="16" hidden="1" x14ac:dyDescent="0.3">
      <c r="A9" s="106" t="s">
        <v>244</v>
      </c>
      <c r="B9" s="88" t="s">
        <v>163</v>
      </c>
      <c r="C9" s="86" t="s">
        <v>89</v>
      </c>
      <c r="D9" s="86">
        <v>1</v>
      </c>
      <c r="E9" s="86">
        <v>0</v>
      </c>
      <c r="F9" s="86">
        <v>0</v>
      </c>
      <c r="G9" s="86">
        <v>1</v>
      </c>
      <c r="H9" s="86">
        <v>1</v>
      </c>
      <c r="I9" s="86">
        <v>1</v>
      </c>
      <c r="J9" s="86">
        <v>1</v>
      </c>
      <c r="K9" s="89" t="s">
        <v>111</v>
      </c>
      <c r="L9" s="86" t="s">
        <v>75</v>
      </c>
      <c r="M9" s="29"/>
      <c r="N9" s="4" t="s">
        <v>86</v>
      </c>
      <c r="O9" s="4">
        <v>11.9</v>
      </c>
      <c r="P9" s="4">
        <v>0</v>
      </c>
      <c r="Q9" s="35" t="s">
        <v>104</v>
      </c>
      <c r="R9" s="13">
        <v>63.672162780552974</v>
      </c>
      <c r="S9" s="94"/>
      <c r="T9" s="94">
        <v>1</v>
      </c>
      <c r="U9" s="94"/>
    </row>
    <row r="10" spans="1:21" ht="16" x14ac:dyDescent="0.3">
      <c r="A10" s="94">
        <v>1</v>
      </c>
      <c r="B10" s="82" t="s">
        <v>175</v>
      </c>
      <c r="C10" s="82" t="s">
        <v>89</v>
      </c>
      <c r="D10" s="82">
        <v>1</v>
      </c>
      <c r="E10" s="82">
        <v>0</v>
      </c>
      <c r="F10" s="82">
        <v>1</v>
      </c>
      <c r="G10" s="82">
        <v>0</v>
      </c>
      <c r="H10" s="82">
        <v>1</v>
      </c>
      <c r="I10" s="82">
        <v>1</v>
      </c>
      <c r="J10" s="82">
        <v>1</v>
      </c>
      <c r="K10" s="85" t="s">
        <v>111</v>
      </c>
      <c r="L10" s="82" t="s">
        <v>103</v>
      </c>
      <c r="M10" s="99">
        <v>1</v>
      </c>
      <c r="N10" s="98" t="s">
        <v>86</v>
      </c>
      <c r="O10" s="98">
        <v>18.3</v>
      </c>
      <c r="P10" s="98">
        <v>18.100000000000001</v>
      </c>
      <c r="Q10" s="100" t="s">
        <v>94</v>
      </c>
      <c r="R10" s="101">
        <v>51.593393065087668</v>
      </c>
      <c r="S10" s="94">
        <v>1</v>
      </c>
      <c r="T10" s="94">
        <v>1</v>
      </c>
      <c r="U10" s="94">
        <v>1</v>
      </c>
    </row>
    <row r="11" spans="1:21" ht="16" x14ac:dyDescent="0.25">
      <c r="A11" s="106">
        <v>1</v>
      </c>
      <c r="B11" s="81" t="s">
        <v>188</v>
      </c>
      <c r="C11" s="81" t="s">
        <v>89</v>
      </c>
      <c r="D11" s="81">
        <v>1</v>
      </c>
      <c r="E11" s="81">
        <v>0</v>
      </c>
      <c r="F11" s="81">
        <v>0</v>
      </c>
      <c r="G11" s="81">
        <v>0</v>
      </c>
      <c r="H11" s="81">
        <v>0</v>
      </c>
      <c r="I11" s="81">
        <v>1</v>
      </c>
      <c r="J11" s="81">
        <v>0</v>
      </c>
      <c r="K11" s="87" t="s">
        <v>111</v>
      </c>
      <c r="L11" s="81" t="s">
        <v>129</v>
      </c>
      <c r="M11" s="29">
        <v>1</v>
      </c>
      <c r="N11" s="4" t="s">
        <v>86</v>
      </c>
      <c r="O11" s="4">
        <v>10.3</v>
      </c>
      <c r="P11" s="4">
        <v>29.6</v>
      </c>
      <c r="Q11" s="35" t="s">
        <v>94</v>
      </c>
      <c r="R11" s="13">
        <v>33.234759835651332</v>
      </c>
      <c r="S11" s="94"/>
      <c r="T11" s="94">
        <v>1</v>
      </c>
      <c r="U11" s="94">
        <v>1</v>
      </c>
    </row>
    <row r="12" spans="1:21" ht="16" hidden="1" x14ac:dyDescent="0.25">
      <c r="A12" s="94"/>
      <c r="B12" s="102" t="s">
        <v>189</v>
      </c>
      <c r="C12" s="81" t="s">
        <v>89</v>
      </c>
      <c r="D12" s="81">
        <v>1</v>
      </c>
      <c r="E12" s="81">
        <v>0</v>
      </c>
      <c r="F12" s="81">
        <v>0</v>
      </c>
      <c r="G12" s="81">
        <v>1</v>
      </c>
      <c r="H12" s="81">
        <v>1</v>
      </c>
      <c r="I12" s="81">
        <v>1</v>
      </c>
      <c r="J12" s="81">
        <v>0</v>
      </c>
      <c r="K12" s="87" t="s">
        <v>111</v>
      </c>
      <c r="L12" s="81" t="s">
        <v>129</v>
      </c>
      <c r="M12" s="29"/>
      <c r="N12" s="4" t="s">
        <v>86</v>
      </c>
      <c r="O12" s="4">
        <v>4.9000000000000004</v>
      </c>
      <c r="P12" s="4">
        <v>16.100000000000001</v>
      </c>
      <c r="Q12" s="35" t="s">
        <v>94</v>
      </c>
      <c r="R12" s="13">
        <v>54.405025311879754</v>
      </c>
      <c r="S12" s="94"/>
      <c r="T12" s="94" t="s">
        <v>245</v>
      </c>
      <c r="U12" s="94"/>
    </row>
    <row r="13" spans="1:21" ht="16" hidden="1" x14ac:dyDescent="0.3">
      <c r="A13" s="94">
        <v>0</v>
      </c>
      <c r="B13" s="82" t="s">
        <v>192</v>
      </c>
      <c r="C13" s="82" t="s">
        <v>89</v>
      </c>
      <c r="D13" s="82">
        <v>1</v>
      </c>
      <c r="E13" s="82">
        <v>0</v>
      </c>
      <c r="F13" s="82">
        <v>1</v>
      </c>
      <c r="G13" s="82">
        <v>1</v>
      </c>
      <c r="H13" s="82">
        <v>0</v>
      </c>
      <c r="I13" s="82">
        <v>0</v>
      </c>
      <c r="J13" s="82">
        <v>1</v>
      </c>
      <c r="K13" s="85" t="s">
        <v>111</v>
      </c>
      <c r="L13" s="82" t="s">
        <v>75</v>
      </c>
      <c r="M13" s="99"/>
      <c r="N13" s="98" t="s">
        <v>76</v>
      </c>
      <c r="O13" s="98" t="s">
        <v>76</v>
      </c>
      <c r="P13" s="98" t="s">
        <v>76</v>
      </c>
      <c r="Q13" s="100" t="s">
        <v>76</v>
      </c>
      <c r="R13" s="101" t="s">
        <v>76</v>
      </c>
      <c r="S13" s="94">
        <v>1</v>
      </c>
      <c r="T13" s="94">
        <v>1</v>
      </c>
      <c r="U13" s="94">
        <v>1</v>
      </c>
    </row>
    <row r="14" spans="1:21" ht="16" hidden="1" x14ac:dyDescent="0.3">
      <c r="A14" s="94"/>
      <c r="B14" s="81" t="s">
        <v>200</v>
      </c>
      <c r="C14" s="86" t="s">
        <v>89</v>
      </c>
      <c r="D14" s="86">
        <v>1</v>
      </c>
      <c r="E14" s="81">
        <v>0</v>
      </c>
      <c r="F14" s="81">
        <v>0</v>
      </c>
      <c r="G14" s="81">
        <v>0</v>
      </c>
      <c r="H14" s="81">
        <v>1</v>
      </c>
      <c r="I14" s="81">
        <v>1</v>
      </c>
      <c r="J14" s="81">
        <v>0</v>
      </c>
      <c r="K14" s="87" t="s">
        <v>111</v>
      </c>
      <c r="L14" s="81" t="s">
        <v>103</v>
      </c>
      <c r="M14" s="29">
        <v>1</v>
      </c>
      <c r="N14" s="4" t="s">
        <v>86</v>
      </c>
      <c r="O14" s="4">
        <v>14.3</v>
      </c>
      <c r="P14" s="4">
        <v>12.8</v>
      </c>
      <c r="Q14" s="35" t="s">
        <v>94</v>
      </c>
      <c r="R14" s="13">
        <v>35.998942764583347</v>
      </c>
      <c r="S14" s="94"/>
      <c r="T14" s="94"/>
      <c r="U14" s="94"/>
    </row>
    <row r="15" spans="1:21" ht="16" hidden="1" x14ac:dyDescent="0.25">
      <c r="A15" s="94"/>
      <c r="B15" s="81" t="s">
        <v>206</v>
      </c>
      <c r="C15" s="81" t="s">
        <v>89</v>
      </c>
      <c r="D15" s="81">
        <v>1</v>
      </c>
      <c r="E15" s="81">
        <v>0</v>
      </c>
      <c r="F15" s="81">
        <v>0</v>
      </c>
      <c r="G15" s="81">
        <v>0</v>
      </c>
      <c r="H15" s="81">
        <v>0</v>
      </c>
      <c r="I15" s="81">
        <v>1</v>
      </c>
      <c r="J15" s="81">
        <v>0</v>
      </c>
      <c r="K15" s="87" t="s">
        <v>111</v>
      </c>
      <c r="L15" s="81" t="s">
        <v>103</v>
      </c>
      <c r="M15" s="29"/>
      <c r="N15" s="4" t="s">
        <v>86</v>
      </c>
      <c r="O15" s="4">
        <v>20.399999999999999</v>
      </c>
      <c r="P15" s="4">
        <v>2.2000000000000002</v>
      </c>
      <c r="Q15" s="35" t="s">
        <v>104</v>
      </c>
      <c r="R15" s="13">
        <v>48.772737574794093</v>
      </c>
      <c r="S15" s="94"/>
      <c r="T15" s="94"/>
      <c r="U15" s="94"/>
    </row>
    <row r="16" spans="1:21" ht="16" x14ac:dyDescent="0.3">
      <c r="A16" s="94">
        <v>1</v>
      </c>
      <c r="B16" s="83" t="s">
        <v>212</v>
      </c>
      <c r="C16" s="84" t="s">
        <v>89</v>
      </c>
      <c r="D16" s="84">
        <v>1</v>
      </c>
      <c r="E16" s="82">
        <v>0</v>
      </c>
      <c r="F16" s="82">
        <v>0</v>
      </c>
      <c r="G16" s="82">
        <v>1</v>
      </c>
      <c r="H16" s="82">
        <v>1</v>
      </c>
      <c r="I16" s="82">
        <v>1</v>
      </c>
      <c r="J16" s="82">
        <v>1</v>
      </c>
      <c r="K16" s="85" t="s">
        <v>111</v>
      </c>
      <c r="L16" s="82" t="s">
        <v>103</v>
      </c>
      <c r="M16" s="99">
        <v>1</v>
      </c>
      <c r="N16" s="98" t="s">
        <v>124</v>
      </c>
      <c r="O16" s="98">
        <v>35.299999999999997</v>
      </c>
      <c r="P16" s="98">
        <v>38.200000000000003</v>
      </c>
      <c r="Q16" s="100" t="s">
        <v>112</v>
      </c>
      <c r="R16" s="101">
        <v>45.442133420227513</v>
      </c>
      <c r="S16" s="94">
        <v>1</v>
      </c>
      <c r="T16" s="94">
        <v>1</v>
      </c>
      <c r="U16" s="94">
        <v>1</v>
      </c>
    </row>
    <row r="17" spans="1:21" ht="16" hidden="1" x14ac:dyDescent="0.3">
      <c r="A17" s="94"/>
      <c r="B17" s="81" t="s">
        <v>96</v>
      </c>
      <c r="C17" s="86" t="s">
        <v>79</v>
      </c>
      <c r="D17" s="86">
        <v>1</v>
      </c>
      <c r="E17" s="81">
        <v>1</v>
      </c>
      <c r="F17" s="81">
        <v>0</v>
      </c>
      <c r="G17" s="81">
        <v>0</v>
      </c>
      <c r="H17" s="81">
        <v>0</v>
      </c>
      <c r="I17" s="81">
        <v>0</v>
      </c>
      <c r="J17" s="81">
        <v>0</v>
      </c>
      <c r="K17" s="87" t="s">
        <v>115</v>
      </c>
      <c r="L17" s="81" t="s">
        <v>129</v>
      </c>
      <c r="M17" s="29"/>
      <c r="N17" s="4" t="s">
        <v>77</v>
      </c>
      <c r="O17" s="4">
        <v>0</v>
      </c>
      <c r="P17" s="4">
        <v>1.1000000000000001</v>
      </c>
      <c r="Q17" s="35" t="s">
        <v>99</v>
      </c>
      <c r="R17" s="13">
        <v>4.9843135739956921</v>
      </c>
      <c r="S17" s="94"/>
      <c r="T17" s="94"/>
      <c r="U17" s="94"/>
    </row>
    <row r="18" spans="1:21" ht="16" hidden="1" x14ac:dyDescent="0.3">
      <c r="A18" s="94"/>
      <c r="B18" s="81" t="s">
        <v>114</v>
      </c>
      <c r="C18" s="81" t="s">
        <v>79</v>
      </c>
      <c r="D18" s="86">
        <v>1</v>
      </c>
      <c r="E18" s="81">
        <v>0</v>
      </c>
      <c r="F18" s="81">
        <v>0</v>
      </c>
      <c r="G18" s="81">
        <v>0</v>
      </c>
      <c r="H18" s="81">
        <v>0</v>
      </c>
      <c r="I18" s="81">
        <v>0</v>
      </c>
      <c r="J18" s="81">
        <v>0</v>
      </c>
      <c r="K18" s="87" t="s">
        <v>111</v>
      </c>
      <c r="L18" s="81" t="s">
        <v>103</v>
      </c>
      <c r="M18" s="29"/>
      <c r="N18" s="4" t="s">
        <v>116</v>
      </c>
      <c r="O18" s="4">
        <v>44.8</v>
      </c>
      <c r="P18" s="4">
        <v>0</v>
      </c>
      <c r="Q18" s="35" t="s">
        <v>99</v>
      </c>
      <c r="R18" s="13">
        <v>0.78798785333536614</v>
      </c>
      <c r="S18" s="94"/>
      <c r="T18" s="94"/>
      <c r="U18" s="94"/>
    </row>
    <row r="19" spans="1:21" ht="16" x14ac:dyDescent="0.3">
      <c r="A19" s="94">
        <v>1</v>
      </c>
      <c r="B19" s="82" t="s">
        <v>246</v>
      </c>
      <c r="C19" s="82" t="s">
        <v>79</v>
      </c>
      <c r="D19" s="84">
        <v>1</v>
      </c>
      <c r="E19" s="82">
        <v>0</v>
      </c>
      <c r="F19" s="82">
        <v>0</v>
      </c>
      <c r="G19" s="82">
        <v>0</v>
      </c>
      <c r="H19" s="82">
        <v>0</v>
      </c>
      <c r="I19" s="82">
        <v>0</v>
      </c>
      <c r="J19" s="82">
        <v>0</v>
      </c>
      <c r="K19" s="85" t="s">
        <v>115</v>
      </c>
      <c r="L19" s="82" t="s">
        <v>75</v>
      </c>
      <c r="M19" s="99"/>
      <c r="N19" s="98" t="s">
        <v>116</v>
      </c>
      <c r="O19" s="98">
        <v>49.6</v>
      </c>
      <c r="P19" s="98">
        <v>15.1</v>
      </c>
      <c r="Q19" s="100" t="s">
        <v>104</v>
      </c>
      <c r="R19" s="101">
        <v>30.248903800354725</v>
      </c>
      <c r="S19" s="94">
        <v>1</v>
      </c>
      <c r="T19" s="94"/>
      <c r="U19" s="94">
        <v>1</v>
      </c>
    </row>
    <row r="20" spans="1:21" ht="16" x14ac:dyDescent="0.3">
      <c r="A20" s="94">
        <v>1</v>
      </c>
      <c r="B20" s="82" t="s">
        <v>165</v>
      </c>
      <c r="C20" s="82" t="s">
        <v>79</v>
      </c>
      <c r="D20" s="84">
        <v>0</v>
      </c>
      <c r="E20" s="82">
        <v>1</v>
      </c>
      <c r="F20" s="82">
        <v>0</v>
      </c>
      <c r="G20" s="82">
        <v>0</v>
      </c>
      <c r="H20" s="82">
        <v>0</v>
      </c>
      <c r="I20" s="82">
        <v>0</v>
      </c>
      <c r="J20" s="82">
        <v>0</v>
      </c>
      <c r="K20" s="85" t="s">
        <v>93</v>
      </c>
      <c r="L20" s="82" t="s">
        <v>75</v>
      </c>
      <c r="M20" s="99"/>
      <c r="N20" s="98" t="s">
        <v>116</v>
      </c>
      <c r="O20" s="98">
        <v>37.1</v>
      </c>
      <c r="P20" s="98">
        <v>18.7</v>
      </c>
      <c r="Q20" s="100" t="s">
        <v>85</v>
      </c>
      <c r="R20" s="101">
        <v>57.771168023530549</v>
      </c>
      <c r="S20" s="94">
        <v>1</v>
      </c>
      <c r="T20" s="94"/>
      <c r="U20" s="94">
        <v>1</v>
      </c>
    </row>
    <row r="21" spans="1:21" ht="16" hidden="1" x14ac:dyDescent="0.3">
      <c r="A21" s="94">
        <v>0</v>
      </c>
      <c r="B21" s="82" t="s">
        <v>179</v>
      </c>
      <c r="C21" s="84" t="s">
        <v>79</v>
      </c>
      <c r="D21" s="84">
        <v>1</v>
      </c>
      <c r="E21" s="82">
        <v>0</v>
      </c>
      <c r="F21" s="82">
        <v>0</v>
      </c>
      <c r="G21" s="82">
        <v>0</v>
      </c>
      <c r="H21" s="82">
        <v>0</v>
      </c>
      <c r="I21" s="82">
        <v>0</v>
      </c>
      <c r="J21" s="82">
        <v>0</v>
      </c>
      <c r="K21" s="85" t="s">
        <v>73</v>
      </c>
      <c r="L21" s="82" t="s">
        <v>103</v>
      </c>
      <c r="M21" s="99"/>
      <c r="N21" s="98" t="s">
        <v>86</v>
      </c>
      <c r="O21" s="98">
        <v>2.8</v>
      </c>
      <c r="P21" s="98">
        <v>0</v>
      </c>
      <c r="Q21" s="100" t="s">
        <v>94</v>
      </c>
      <c r="R21" s="101">
        <v>55.037349173929961</v>
      </c>
      <c r="S21" s="94">
        <v>1</v>
      </c>
      <c r="T21" s="94"/>
      <c r="U21" s="94"/>
    </row>
    <row r="22" spans="1:21" ht="16" hidden="1" x14ac:dyDescent="0.3">
      <c r="A22" s="94"/>
      <c r="B22" s="81" t="s">
        <v>247</v>
      </c>
      <c r="C22" s="86" t="s">
        <v>69</v>
      </c>
      <c r="D22" s="86">
        <v>1</v>
      </c>
      <c r="E22" s="81">
        <v>0</v>
      </c>
      <c r="F22" s="81">
        <v>0</v>
      </c>
      <c r="G22" s="81">
        <v>0</v>
      </c>
      <c r="H22" s="81">
        <v>1</v>
      </c>
      <c r="I22" s="81">
        <v>0</v>
      </c>
      <c r="J22" s="81">
        <v>0</v>
      </c>
      <c r="K22" s="87" t="s">
        <v>73</v>
      </c>
      <c r="L22" s="81" t="s">
        <v>129</v>
      </c>
      <c r="M22" s="29"/>
      <c r="N22" s="4" t="s">
        <v>116</v>
      </c>
      <c r="O22" s="4">
        <v>43</v>
      </c>
      <c r="P22" s="4">
        <v>0</v>
      </c>
      <c r="Q22" s="35" t="s">
        <v>85</v>
      </c>
      <c r="R22" s="13">
        <v>32.037482633482767</v>
      </c>
      <c r="S22" s="94"/>
      <c r="T22" s="94"/>
      <c r="U22" s="94"/>
    </row>
    <row r="23" spans="1:21" ht="16" hidden="1" x14ac:dyDescent="0.3">
      <c r="A23" s="94"/>
      <c r="B23" s="81" t="s">
        <v>171</v>
      </c>
      <c r="C23" s="81" t="s">
        <v>69</v>
      </c>
      <c r="D23" s="86">
        <v>1</v>
      </c>
      <c r="E23" s="81">
        <v>0</v>
      </c>
      <c r="F23" s="81">
        <v>0</v>
      </c>
      <c r="G23" s="81">
        <v>1</v>
      </c>
      <c r="H23" s="81">
        <v>1</v>
      </c>
      <c r="I23" s="81">
        <v>1</v>
      </c>
      <c r="J23" s="81">
        <v>0</v>
      </c>
      <c r="K23" s="87" t="s">
        <v>93</v>
      </c>
      <c r="L23" s="81" t="s">
        <v>129</v>
      </c>
      <c r="M23" s="29"/>
      <c r="N23" s="4" t="s">
        <v>86</v>
      </c>
      <c r="O23" s="4">
        <v>8.4</v>
      </c>
      <c r="P23" s="4">
        <v>0</v>
      </c>
      <c r="Q23" s="35" t="s">
        <v>94</v>
      </c>
      <c r="R23" s="13">
        <v>21.342391857665433</v>
      </c>
      <c r="S23" s="94"/>
      <c r="T23" s="94"/>
      <c r="U23" s="94"/>
    </row>
    <row r="24" spans="1:21" ht="16" x14ac:dyDescent="0.3">
      <c r="A24" s="94">
        <v>1</v>
      </c>
      <c r="B24" s="82" t="s">
        <v>199</v>
      </c>
      <c r="C24" s="82" t="s">
        <v>69</v>
      </c>
      <c r="D24" s="84">
        <v>1</v>
      </c>
      <c r="E24" s="82">
        <v>0</v>
      </c>
      <c r="F24" s="82">
        <v>0</v>
      </c>
      <c r="G24" s="82">
        <v>1</v>
      </c>
      <c r="H24" s="82">
        <v>0</v>
      </c>
      <c r="I24" s="82">
        <v>0</v>
      </c>
      <c r="J24" s="82">
        <v>0</v>
      </c>
      <c r="K24" s="85" t="s">
        <v>111</v>
      </c>
      <c r="L24" s="82" t="s">
        <v>75</v>
      </c>
      <c r="M24" s="99">
        <v>1</v>
      </c>
      <c r="N24" s="98" t="s">
        <v>116</v>
      </c>
      <c r="O24" s="98">
        <v>40.6</v>
      </c>
      <c r="P24" s="98">
        <v>12.6</v>
      </c>
      <c r="Q24" s="100" t="s">
        <v>112</v>
      </c>
      <c r="R24" s="101">
        <v>15.153537639041801</v>
      </c>
      <c r="S24" s="94">
        <v>1</v>
      </c>
      <c r="T24" s="94"/>
      <c r="U24" s="94">
        <v>1</v>
      </c>
    </row>
    <row r="25" spans="1:21" ht="16" hidden="1" x14ac:dyDescent="0.3">
      <c r="A25" s="94"/>
      <c r="B25" s="81" t="s">
        <v>137</v>
      </c>
      <c r="C25" s="86" t="s">
        <v>138</v>
      </c>
      <c r="D25" s="86">
        <v>0</v>
      </c>
      <c r="E25" s="81">
        <v>1</v>
      </c>
      <c r="F25" s="81">
        <v>0</v>
      </c>
      <c r="G25" s="81">
        <v>0</v>
      </c>
      <c r="H25" s="81">
        <v>0</v>
      </c>
      <c r="I25" s="81">
        <v>0</v>
      </c>
      <c r="J25" s="81">
        <v>0</v>
      </c>
      <c r="K25" s="87" t="s">
        <v>111</v>
      </c>
      <c r="L25" s="81" t="s">
        <v>75</v>
      </c>
      <c r="M25" s="29"/>
      <c r="N25" s="4" t="s">
        <v>86</v>
      </c>
      <c r="O25" s="4">
        <v>11.5</v>
      </c>
      <c r="P25" s="4">
        <v>17.5</v>
      </c>
      <c r="Q25" s="35" t="s">
        <v>94</v>
      </c>
      <c r="R25" s="13">
        <v>44.395374063710335</v>
      </c>
      <c r="S25" s="94"/>
      <c r="T25" s="94"/>
      <c r="U25" s="94"/>
    </row>
    <row r="26" spans="1:21" ht="16" x14ac:dyDescent="0.3">
      <c r="A26" s="94">
        <v>1</v>
      </c>
      <c r="B26" s="82" t="s">
        <v>148</v>
      </c>
      <c r="C26" s="82" t="s">
        <v>138</v>
      </c>
      <c r="D26" s="84">
        <v>0</v>
      </c>
      <c r="E26" s="82">
        <v>1</v>
      </c>
      <c r="F26" s="82">
        <v>0</v>
      </c>
      <c r="G26" s="82">
        <v>0</v>
      </c>
      <c r="H26" s="82">
        <v>1</v>
      </c>
      <c r="I26" s="82">
        <v>0</v>
      </c>
      <c r="J26" s="82">
        <v>1</v>
      </c>
      <c r="K26" s="85" t="s">
        <v>111</v>
      </c>
      <c r="L26" s="82" t="s">
        <v>103</v>
      </c>
      <c r="M26" s="99"/>
      <c r="N26" s="98" t="s">
        <v>86</v>
      </c>
      <c r="O26" s="98">
        <v>1.7</v>
      </c>
      <c r="P26" s="98">
        <v>27.6</v>
      </c>
      <c r="Q26" s="100" t="s">
        <v>112</v>
      </c>
      <c r="R26" s="101">
        <v>39.200247940311606</v>
      </c>
      <c r="S26" s="94">
        <v>1</v>
      </c>
      <c r="T26" s="94">
        <v>1</v>
      </c>
      <c r="U26" s="94">
        <v>1</v>
      </c>
    </row>
    <row r="27" spans="1:21" ht="16" hidden="1" x14ac:dyDescent="0.3">
      <c r="A27" s="106" t="s">
        <v>244</v>
      </c>
      <c r="B27" s="81" t="s">
        <v>180</v>
      </c>
      <c r="C27" s="81" t="s">
        <v>138</v>
      </c>
      <c r="D27" s="86">
        <v>1</v>
      </c>
      <c r="E27" s="81">
        <v>0</v>
      </c>
      <c r="F27" s="81">
        <v>0</v>
      </c>
      <c r="G27" s="81">
        <v>0</v>
      </c>
      <c r="H27" s="81">
        <v>1</v>
      </c>
      <c r="I27" s="81">
        <v>1</v>
      </c>
      <c r="J27" s="81">
        <v>1</v>
      </c>
      <c r="K27" s="103" t="s">
        <v>93</v>
      </c>
      <c r="L27" s="7" t="s">
        <v>75</v>
      </c>
      <c r="M27" s="104"/>
      <c r="N27" s="105" t="s">
        <v>86</v>
      </c>
      <c r="O27" s="105">
        <v>0.4</v>
      </c>
      <c r="P27" s="105">
        <v>0.3</v>
      </c>
      <c r="Q27" s="96" t="s">
        <v>99</v>
      </c>
      <c r="R27" s="95">
        <v>4.3042439322716319</v>
      </c>
      <c r="S27" s="94"/>
      <c r="T27" s="94">
        <v>1</v>
      </c>
      <c r="U27" s="94"/>
    </row>
    <row r="28" spans="1:21" ht="12.5" x14ac:dyDescent="0.25">
      <c r="A28" s="92">
        <v>1</v>
      </c>
      <c r="B28" t="s">
        <v>248</v>
      </c>
      <c r="C28" s="81"/>
      <c r="D28" s="81"/>
      <c r="E28" s="81"/>
      <c r="F28" s="81"/>
      <c r="G28" s="81"/>
      <c r="H28" s="81"/>
      <c r="I28" s="81"/>
      <c r="J28" s="81"/>
      <c r="K28" s="81"/>
      <c r="L28" s="81"/>
      <c r="M28" s="81"/>
      <c r="N28" s="81"/>
      <c r="O28" s="81"/>
      <c r="P28" s="81"/>
      <c r="Q28" s="81"/>
      <c r="R28" s="81"/>
    </row>
    <row r="29" spans="1:21" ht="12.5" x14ac:dyDescent="0.25">
      <c r="A29" s="92">
        <v>1</v>
      </c>
      <c r="B29" t="s">
        <v>249</v>
      </c>
      <c r="C29" s="81"/>
      <c r="D29" s="81"/>
      <c r="E29" s="81"/>
      <c r="F29" s="81"/>
      <c r="G29" s="81"/>
      <c r="H29" s="81"/>
      <c r="I29" s="81"/>
      <c r="J29" s="81"/>
      <c r="K29" s="81"/>
      <c r="L29" s="81"/>
      <c r="M29" s="81"/>
      <c r="N29" s="81"/>
      <c r="O29" s="81"/>
      <c r="P29" s="81"/>
      <c r="Q29" s="81"/>
      <c r="R29" s="81"/>
    </row>
    <row r="30" spans="1:21" ht="12.5" hidden="1" x14ac:dyDescent="0.25">
      <c r="A30" s="91"/>
      <c r="B30" s="81"/>
      <c r="C30" s="81"/>
      <c r="D30" s="81"/>
      <c r="E30" s="81"/>
      <c r="F30" s="81"/>
      <c r="G30" s="81"/>
      <c r="H30" s="81"/>
      <c r="I30" s="81"/>
      <c r="J30" s="81"/>
      <c r="K30" s="81"/>
      <c r="L30" s="81"/>
      <c r="M30" s="81"/>
      <c r="N30" s="81"/>
      <c r="O30" s="81"/>
      <c r="P30" s="81"/>
      <c r="Q30" s="81"/>
      <c r="R30" s="81"/>
    </row>
    <row r="31" spans="1:21" ht="12.5" hidden="1" x14ac:dyDescent="0.25">
      <c r="A31" s="91"/>
      <c r="B31" s="81" t="s">
        <v>250</v>
      </c>
      <c r="C31" s="81"/>
      <c r="D31" s="81"/>
      <c r="E31" s="81"/>
      <c r="F31" s="81"/>
      <c r="G31" s="81"/>
      <c r="H31" s="81"/>
      <c r="I31" s="81"/>
      <c r="J31" s="81"/>
      <c r="K31" s="81"/>
      <c r="L31" s="81"/>
      <c r="M31" s="81"/>
      <c r="N31" s="81"/>
      <c r="O31" s="81"/>
      <c r="P31" s="81"/>
      <c r="Q31" s="81"/>
      <c r="R31" s="81"/>
    </row>
    <row r="32" spans="1:21" ht="12.5" hidden="1" x14ac:dyDescent="0.25">
      <c r="A32" s="91"/>
      <c r="B32" s="81" t="s">
        <v>65</v>
      </c>
      <c r="C32" s="81" t="s">
        <v>66</v>
      </c>
      <c r="D32" s="81"/>
      <c r="E32" s="81"/>
      <c r="F32" s="81"/>
      <c r="G32" s="81"/>
      <c r="H32" s="81"/>
      <c r="I32" s="81"/>
      <c r="J32" s="81"/>
      <c r="K32" s="81"/>
      <c r="L32" s="81"/>
      <c r="M32" s="81"/>
      <c r="N32" s="81"/>
      <c r="O32" s="81"/>
      <c r="P32" s="81"/>
      <c r="Q32" s="81"/>
      <c r="R32" s="81"/>
    </row>
    <row r="33" spans="1:18" ht="13" hidden="1" x14ac:dyDescent="0.3">
      <c r="A33" s="91"/>
      <c r="B33" s="81" t="s">
        <v>121</v>
      </c>
      <c r="C33" s="82" t="s">
        <v>175</v>
      </c>
      <c r="D33" s="81"/>
      <c r="E33" s="81"/>
      <c r="F33" s="81"/>
      <c r="G33" s="81"/>
      <c r="H33" s="81"/>
      <c r="I33" s="81"/>
      <c r="J33" s="81"/>
      <c r="K33" s="81"/>
      <c r="L33" s="81"/>
      <c r="M33" s="81"/>
      <c r="N33" s="81"/>
      <c r="O33" s="81"/>
      <c r="P33" s="81"/>
      <c r="Q33" s="81"/>
      <c r="R33" s="81"/>
    </row>
    <row r="34" spans="1:18" ht="13" hidden="1" x14ac:dyDescent="0.3">
      <c r="A34" s="91"/>
      <c r="B34" s="81" t="s">
        <v>242</v>
      </c>
      <c r="C34" s="82" t="s">
        <v>188</v>
      </c>
      <c r="D34" s="81"/>
      <c r="E34" s="81"/>
      <c r="F34" s="81"/>
      <c r="G34" s="81"/>
      <c r="H34" s="81"/>
      <c r="I34" s="81"/>
      <c r="J34" s="81"/>
      <c r="K34" s="81"/>
      <c r="L34" s="81"/>
      <c r="M34" s="81"/>
      <c r="N34" s="81"/>
      <c r="O34" s="81"/>
      <c r="P34" s="81"/>
      <c r="Q34" s="81"/>
      <c r="R34" s="81"/>
    </row>
    <row r="35" spans="1:18" ht="12.5" hidden="1" x14ac:dyDescent="0.25">
      <c r="A35" s="91"/>
      <c r="B35" s="81" t="s">
        <v>134</v>
      </c>
      <c r="C35" s="81"/>
      <c r="D35" s="81"/>
      <c r="E35" s="81"/>
      <c r="F35" s="81"/>
      <c r="G35" s="81"/>
      <c r="H35" s="81"/>
      <c r="I35" s="81"/>
      <c r="J35" s="81"/>
      <c r="K35" s="81"/>
      <c r="L35" s="81"/>
      <c r="M35" s="81"/>
      <c r="N35" s="81"/>
      <c r="O35" s="81"/>
      <c r="P35" s="81"/>
      <c r="Q35" s="81"/>
      <c r="R35" s="81"/>
    </row>
    <row r="36" spans="1:18" ht="12.5" hidden="1" x14ac:dyDescent="0.25">
      <c r="A36" s="91"/>
      <c r="B36" s="81" t="s">
        <v>251</v>
      </c>
      <c r="C36" s="81"/>
      <c r="D36" s="81"/>
      <c r="E36" s="81"/>
      <c r="F36" s="81"/>
      <c r="G36" s="81"/>
      <c r="H36" s="81"/>
      <c r="I36" s="81"/>
      <c r="J36" s="81"/>
      <c r="K36" s="81"/>
      <c r="L36" s="81"/>
      <c r="M36" s="81"/>
      <c r="N36" s="81"/>
      <c r="O36" s="81"/>
      <c r="P36" s="81"/>
      <c r="Q36" s="81"/>
      <c r="R36" s="81"/>
    </row>
    <row r="37" spans="1:18" ht="13" hidden="1" x14ac:dyDescent="0.3">
      <c r="A37" s="91"/>
      <c r="B37" s="82" t="s">
        <v>148</v>
      </c>
      <c r="C37" s="81"/>
      <c r="D37" s="81"/>
      <c r="E37" s="81"/>
      <c r="F37" s="81"/>
      <c r="G37" s="81"/>
      <c r="H37" s="81"/>
      <c r="I37" s="81"/>
      <c r="J37" s="81"/>
      <c r="K37" s="81"/>
      <c r="L37" s="81"/>
      <c r="M37" s="81"/>
      <c r="N37" s="81"/>
      <c r="O37" s="81"/>
      <c r="P37" s="81"/>
      <c r="Q37" s="81"/>
      <c r="R37" s="81"/>
    </row>
    <row r="38" spans="1:18" ht="13" hidden="1" x14ac:dyDescent="0.3">
      <c r="A38" s="91"/>
      <c r="B38" s="82" t="s">
        <v>175</v>
      </c>
      <c r="C38" s="81"/>
      <c r="D38" s="81"/>
      <c r="E38" s="81"/>
      <c r="F38" s="81"/>
      <c r="G38" s="81"/>
      <c r="H38" s="81"/>
      <c r="I38" s="81"/>
      <c r="J38" s="81"/>
      <c r="K38" s="81"/>
      <c r="L38" s="81"/>
      <c r="M38" s="81"/>
      <c r="N38" s="81"/>
      <c r="O38" s="81"/>
      <c r="P38" s="81"/>
      <c r="Q38" s="81"/>
      <c r="R38" s="81"/>
    </row>
    <row r="39" spans="1:18" ht="13" hidden="1" x14ac:dyDescent="0.3">
      <c r="A39" s="91"/>
      <c r="B39" s="82" t="s">
        <v>192</v>
      </c>
      <c r="C39" s="81"/>
      <c r="D39" s="81"/>
      <c r="E39" s="81"/>
      <c r="F39" s="81"/>
      <c r="G39" s="81"/>
      <c r="H39" s="81"/>
      <c r="I39" s="81"/>
      <c r="J39" s="81"/>
      <c r="K39" s="81"/>
      <c r="L39" s="81"/>
      <c r="M39" s="81"/>
      <c r="N39" s="81"/>
      <c r="O39" s="81"/>
      <c r="P39" s="81"/>
      <c r="Q39" s="81"/>
      <c r="R39" s="81"/>
    </row>
    <row r="40" spans="1:18" ht="13" hidden="1" x14ac:dyDescent="0.3">
      <c r="A40" s="91"/>
      <c r="B40" s="82" t="s">
        <v>212</v>
      </c>
      <c r="C40" s="81"/>
      <c r="D40" s="81"/>
      <c r="E40" s="81"/>
      <c r="F40" s="81"/>
      <c r="G40" s="81"/>
      <c r="H40" s="81"/>
      <c r="I40" s="81"/>
      <c r="J40" s="81"/>
      <c r="K40" s="81"/>
      <c r="L40" s="81"/>
      <c r="M40" s="81"/>
      <c r="N40" s="81"/>
      <c r="O40" s="81"/>
      <c r="P40" s="81"/>
      <c r="Q40" s="81"/>
      <c r="R40" s="81"/>
    </row>
    <row r="41" spans="1:18" ht="12.5" hidden="1" x14ac:dyDescent="0.25">
      <c r="A41" s="91"/>
      <c r="B41" s="81"/>
      <c r="C41" s="81"/>
      <c r="D41" s="81"/>
      <c r="E41" s="81"/>
      <c r="F41" s="81"/>
      <c r="G41" s="81"/>
      <c r="H41" s="81"/>
      <c r="I41" s="81"/>
      <c r="J41" s="81"/>
      <c r="K41" s="81"/>
      <c r="L41" s="81"/>
      <c r="M41" s="81"/>
      <c r="N41" s="81"/>
      <c r="O41" s="81"/>
      <c r="P41" s="81"/>
      <c r="Q41" s="81"/>
      <c r="R41" s="81"/>
    </row>
  </sheetData>
  <autoFilter ref="A1:U29" xr:uid="{9B9E1AA2-08AC-4D5D-94CB-0DA25EC71440}">
    <filterColumn colId="0">
      <filters>
        <filter val="1"/>
      </filters>
    </filterColumn>
  </autoFilter>
  <sortState xmlns:xlrd2="http://schemas.microsoft.com/office/spreadsheetml/2017/richdata2" ref="A25:U27">
    <sortCondition ref="B25:B27"/>
  </sortState>
  <pageMargins left="0.7" right="0.7" top="0.75" bottom="0.75" header="0.3" footer="0.3"/>
  <pageSetup scale="53" fitToHeight="0"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B5187-955C-4ED8-8223-4314CCCDB87C}">
  <dimension ref="A1:BI71"/>
  <sheetViews>
    <sheetView tabSelected="1" workbookViewId="0">
      <pane xSplit="2" ySplit="1" topLeftCell="C18" activePane="bottomRight" state="frozen"/>
      <selection pane="topRight" activeCell="C1" sqref="C1"/>
      <selection pane="bottomLeft" activeCell="A2" sqref="A2"/>
      <selection pane="bottomRight" activeCell="C2" sqref="C2"/>
    </sheetView>
  </sheetViews>
  <sheetFormatPr defaultRowHeight="12.5" x14ac:dyDescent="0.25"/>
  <cols>
    <col min="45" max="45" width="32.6328125" bestFit="1" customWidth="1"/>
    <col min="46" max="46" width="38.81640625" bestFit="1" customWidth="1"/>
    <col min="47" max="47" width="43.26953125" bestFit="1" customWidth="1"/>
    <col min="48" max="48" width="44.453125" bestFit="1" customWidth="1"/>
    <col min="49" max="49" width="52.08984375" bestFit="1" customWidth="1"/>
    <col min="50" max="50" width="41.36328125" bestFit="1" customWidth="1"/>
  </cols>
  <sheetData>
    <row r="1" spans="1:61" ht="25.5" customHeight="1" x14ac:dyDescent="0.3">
      <c r="A1" s="3" t="s">
        <v>1</v>
      </c>
      <c r="B1" s="3" t="s">
        <v>2</v>
      </c>
      <c r="C1" s="3" t="s">
        <v>3</v>
      </c>
      <c r="D1" s="3" t="s">
        <v>4</v>
      </c>
      <c r="E1" s="10" t="s">
        <v>5</v>
      </c>
      <c r="F1" s="3" t="s">
        <v>6</v>
      </c>
      <c r="G1" s="3" t="s">
        <v>7</v>
      </c>
      <c r="H1" s="3" t="s">
        <v>8</v>
      </c>
      <c r="I1" s="57" t="s">
        <v>9</v>
      </c>
      <c r="J1" s="58" t="s">
        <v>10</v>
      </c>
      <c r="K1" s="10" t="s">
        <v>11</v>
      </c>
      <c r="L1" s="10" t="s">
        <v>12</v>
      </c>
      <c r="M1" s="10" t="s">
        <v>13</v>
      </c>
      <c r="N1" s="10" t="s">
        <v>14</v>
      </c>
      <c r="O1" s="10" t="s">
        <v>15</v>
      </c>
      <c r="P1" s="10" t="s">
        <v>16</v>
      </c>
      <c r="Q1" s="30" t="s">
        <v>17</v>
      </c>
      <c r="R1" s="3" t="s">
        <v>18</v>
      </c>
      <c r="S1" s="31" t="s">
        <v>19</v>
      </c>
      <c r="T1" s="52" t="s">
        <v>20</v>
      </c>
      <c r="U1" s="53" t="s">
        <v>21</v>
      </c>
      <c r="V1" s="30" t="s">
        <v>22</v>
      </c>
      <c r="W1" s="3" t="s">
        <v>23</v>
      </c>
      <c r="X1" s="10" t="s">
        <v>24</v>
      </c>
      <c r="Y1" s="28" t="s">
        <v>25</v>
      </c>
      <c r="Z1" s="10" t="s">
        <v>26</v>
      </c>
      <c r="AA1" s="10" t="s">
        <v>27</v>
      </c>
      <c r="AB1" s="10" t="s">
        <v>28</v>
      </c>
      <c r="AC1" s="10" t="s">
        <v>29</v>
      </c>
      <c r="AD1" s="10" t="s">
        <v>30</v>
      </c>
      <c r="AE1" s="22" t="s">
        <v>31</v>
      </c>
      <c r="AF1" s="10" t="s">
        <v>32</v>
      </c>
      <c r="AG1" s="10" t="s">
        <v>33</v>
      </c>
      <c r="AH1" s="10" t="s">
        <v>34</v>
      </c>
      <c r="AI1" s="10" t="s">
        <v>35</v>
      </c>
      <c r="AJ1" s="10" t="s">
        <v>36</v>
      </c>
      <c r="AK1" s="57" t="s">
        <v>37</v>
      </c>
      <c r="AL1" s="66" t="s">
        <v>38</v>
      </c>
      <c r="AM1" s="10" t="s">
        <v>39</v>
      </c>
      <c r="AN1" s="10" t="s">
        <v>40</v>
      </c>
      <c r="AO1" s="10" t="s">
        <v>41</v>
      </c>
      <c r="AP1" s="10" t="s">
        <v>42</v>
      </c>
      <c r="AQ1" s="10" t="s">
        <v>43</v>
      </c>
      <c r="AR1" s="22" t="s">
        <v>44</v>
      </c>
      <c r="AS1" s="10" t="s">
        <v>45</v>
      </c>
      <c r="AT1" s="10" t="s">
        <v>46</v>
      </c>
      <c r="AU1" s="10" t="s">
        <v>47</v>
      </c>
      <c r="AV1" s="10" t="s">
        <v>48</v>
      </c>
      <c r="AW1" s="10" t="s">
        <v>49</v>
      </c>
      <c r="AX1" s="10" t="s">
        <v>50</v>
      </c>
      <c r="AY1" s="10" t="s">
        <v>51</v>
      </c>
      <c r="AZ1" s="10" t="s">
        <v>52</v>
      </c>
      <c r="BA1" s="28" t="s">
        <v>53</v>
      </c>
      <c r="BB1" s="10" t="s">
        <v>54</v>
      </c>
      <c r="BC1" s="10" t="s">
        <v>55</v>
      </c>
      <c r="BD1" s="10" t="s">
        <v>56</v>
      </c>
      <c r="BE1" s="10" t="s">
        <v>57</v>
      </c>
      <c r="BF1" s="10" t="s">
        <v>58</v>
      </c>
      <c r="BG1" s="10" t="s">
        <v>59</v>
      </c>
      <c r="BH1" s="10" t="s">
        <v>60</v>
      </c>
      <c r="BI1" s="10" t="s">
        <v>61</v>
      </c>
    </row>
    <row r="2" spans="1:61" ht="16" x14ac:dyDescent="0.25">
      <c r="A2" t="s">
        <v>68</v>
      </c>
      <c r="C2" s="4">
        <v>1</v>
      </c>
      <c r="D2" s="4" t="s">
        <v>69</v>
      </c>
      <c r="E2" s="4"/>
      <c r="F2" s="4">
        <v>1</v>
      </c>
      <c r="G2" s="4">
        <v>1</v>
      </c>
      <c r="H2" s="4"/>
      <c r="I2" s="55"/>
      <c r="J2" s="56"/>
      <c r="K2" s="4">
        <v>1</v>
      </c>
      <c r="L2" s="4"/>
      <c r="M2" s="4">
        <v>4</v>
      </c>
      <c r="N2" s="4">
        <v>1</v>
      </c>
      <c r="O2" s="4">
        <v>1</v>
      </c>
      <c r="P2" s="4"/>
      <c r="Q2" s="29">
        <v>1</v>
      </c>
      <c r="R2" s="4">
        <v>2010</v>
      </c>
      <c r="S2" s="32"/>
      <c r="T2" s="54">
        <v>1</v>
      </c>
      <c r="U2" s="32"/>
      <c r="V2" s="29"/>
      <c r="W2" s="4">
        <v>1</v>
      </c>
      <c r="X2" s="4">
        <v>1</v>
      </c>
      <c r="Y2" s="29" t="s">
        <v>70</v>
      </c>
      <c r="Z2" s="4" t="s">
        <v>70</v>
      </c>
      <c r="AA2" s="4" t="s">
        <v>70</v>
      </c>
      <c r="AB2" s="4" t="s">
        <v>70</v>
      </c>
      <c r="AC2" s="23" t="s">
        <v>71</v>
      </c>
      <c r="AD2" s="23" t="s">
        <v>72</v>
      </c>
      <c r="AE2" s="24" t="s">
        <v>73</v>
      </c>
      <c r="AF2" s="4" t="s">
        <v>74</v>
      </c>
      <c r="AG2" s="4">
        <v>2.68</v>
      </c>
      <c r="AH2" s="4" t="s">
        <v>74</v>
      </c>
      <c r="AI2" s="4">
        <v>1.66</v>
      </c>
      <c r="AJ2" s="4" t="s">
        <v>75</v>
      </c>
      <c r="AK2" s="63">
        <v>2</v>
      </c>
      <c r="AL2" s="61">
        <v>0</v>
      </c>
      <c r="AM2" s="13" t="s">
        <v>76</v>
      </c>
      <c r="AN2" s="13" t="s">
        <v>76</v>
      </c>
      <c r="AO2" s="14" t="s">
        <v>76</v>
      </c>
      <c r="AP2" s="14" t="s">
        <v>76</v>
      </c>
      <c r="AQ2" s="13" t="s">
        <v>76</v>
      </c>
      <c r="AR2" s="35" t="s">
        <v>76</v>
      </c>
      <c r="AS2" s="4" t="s">
        <v>77</v>
      </c>
      <c r="AT2" s="4">
        <v>0</v>
      </c>
      <c r="AU2" s="4">
        <v>0</v>
      </c>
      <c r="AV2" s="4">
        <v>0</v>
      </c>
      <c r="AW2" s="4">
        <v>50.1</v>
      </c>
      <c r="AX2" s="4">
        <v>17.7</v>
      </c>
      <c r="AY2" s="4">
        <v>0</v>
      </c>
      <c r="AZ2" s="4">
        <v>32.200000000000003</v>
      </c>
      <c r="BA2" s="34">
        <v>0.18267130243451471</v>
      </c>
      <c r="BB2" s="13">
        <v>0.32237928512127523</v>
      </c>
      <c r="BC2" s="13" t="s">
        <v>76</v>
      </c>
      <c r="BD2" s="13" t="s">
        <v>76</v>
      </c>
      <c r="BE2" s="14">
        <v>1</v>
      </c>
      <c r="BF2" s="14" t="s">
        <v>76</v>
      </c>
      <c r="BG2" s="14">
        <v>1</v>
      </c>
      <c r="BH2" s="14" t="s">
        <v>76</v>
      </c>
      <c r="BI2" s="14"/>
    </row>
    <row r="3" spans="1:61" ht="16" x14ac:dyDescent="0.25">
      <c r="A3" t="s">
        <v>78</v>
      </c>
      <c r="C3" s="4">
        <v>1</v>
      </c>
      <c r="D3" s="4" t="s">
        <v>79</v>
      </c>
      <c r="E3" s="4"/>
      <c r="F3" s="4"/>
      <c r="G3" s="4"/>
      <c r="H3" s="4"/>
      <c r="I3" s="55"/>
      <c r="J3" s="56"/>
      <c r="K3" s="4">
        <v>1</v>
      </c>
      <c r="L3" s="4">
        <v>1</v>
      </c>
      <c r="M3" s="4">
        <v>2</v>
      </c>
      <c r="N3" s="4">
        <v>1</v>
      </c>
      <c r="O3" s="4">
        <v>0</v>
      </c>
      <c r="P3" s="4">
        <v>1</v>
      </c>
      <c r="Q3" s="29"/>
      <c r="R3" s="4"/>
      <c r="S3" s="32"/>
      <c r="T3" s="54"/>
      <c r="U3" s="32">
        <v>1</v>
      </c>
      <c r="V3" s="29"/>
      <c r="W3" s="4" t="s">
        <v>80</v>
      </c>
      <c r="X3" s="4">
        <v>3</v>
      </c>
      <c r="Y3" s="29" t="s">
        <v>81</v>
      </c>
      <c r="Z3" s="4"/>
      <c r="AA3" s="4" t="s">
        <v>81</v>
      </c>
      <c r="AB3" s="4" t="s">
        <v>81</v>
      </c>
      <c r="AC3" s="23" t="s">
        <v>82</v>
      </c>
      <c r="AD3" s="23" t="s">
        <v>72</v>
      </c>
      <c r="AE3" s="24" t="s">
        <v>83</v>
      </c>
      <c r="AF3" s="4" t="s">
        <v>84</v>
      </c>
      <c r="AG3" s="4">
        <v>3.28</v>
      </c>
      <c r="AH3" s="4" t="s">
        <v>84</v>
      </c>
      <c r="AI3" s="4">
        <v>3.12</v>
      </c>
      <c r="AJ3" s="4" t="s">
        <v>75</v>
      </c>
      <c r="AK3" s="64">
        <v>2</v>
      </c>
      <c r="AL3" s="61">
        <v>0</v>
      </c>
      <c r="AM3" s="13">
        <v>39.14966879725096</v>
      </c>
      <c r="AN3" s="13">
        <v>55.518192019935029</v>
      </c>
      <c r="AO3" s="14">
        <v>4</v>
      </c>
      <c r="AP3" s="14">
        <v>4</v>
      </c>
      <c r="AQ3" s="13">
        <f>Table13[[#This Row],[Share of Domestic Debt (2023)]]-Table13[[#This Row],[Share of Domestic Debt (2005)]]</f>
        <v>16.368523222684068</v>
      </c>
      <c r="AR3" s="35" t="s">
        <v>85</v>
      </c>
      <c r="AS3" s="4" t="s">
        <v>86</v>
      </c>
      <c r="AT3" s="4">
        <v>0</v>
      </c>
      <c r="AU3" s="4">
        <v>6.4</v>
      </c>
      <c r="AV3" s="4">
        <v>9.9</v>
      </c>
      <c r="AW3" s="4">
        <v>20.8</v>
      </c>
      <c r="AX3" s="4">
        <v>34.799999999999997</v>
      </c>
      <c r="AY3" s="4">
        <v>0</v>
      </c>
      <c r="AZ3" s="4">
        <v>28.1</v>
      </c>
      <c r="BA3" s="34">
        <v>9.8533271036464054</v>
      </c>
      <c r="BB3" s="13">
        <v>15.360121264378307</v>
      </c>
      <c r="BC3" s="13">
        <v>17.647151958623081</v>
      </c>
      <c r="BD3" s="13">
        <v>20.830910055039357</v>
      </c>
      <c r="BE3" s="14">
        <v>4</v>
      </c>
      <c r="BF3" s="14">
        <v>4</v>
      </c>
      <c r="BG3" s="14">
        <v>4</v>
      </c>
      <c r="BH3" s="14">
        <v>4</v>
      </c>
      <c r="BI3" s="14" t="s">
        <v>87</v>
      </c>
    </row>
    <row r="4" spans="1:61" ht="16" x14ac:dyDescent="0.25">
      <c r="A4" t="s">
        <v>88</v>
      </c>
      <c r="C4" s="4">
        <v>1</v>
      </c>
      <c r="D4" s="4" t="s">
        <v>89</v>
      </c>
      <c r="E4" s="4" t="s">
        <v>90</v>
      </c>
      <c r="F4" s="4">
        <v>1</v>
      </c>
      <c r="G4" s="4"/>
      <c r="H4" s="4"/>
      <c r="I4" s="55">
        <v>1</v>
      </c>
      <c r="J4" s="56">
        <v>1</v>
      </c>
      <c r="K4" s="4">
        <v>1</v>
      </c>
      <c r="L4" s="4">
        <v>1</v>
      </c>
      <c r="M4" s="4">
        <v>4</v>
      </c>
      <c r="N4" s="4">
        <v>1</v>
      </c>
      <c r="O4" s="4">
        <v>1</v>
      </c>
      <c r="P4" s="4">
        <v>1</v>
      </c>
      <c r="Q4" s="29">
        <v>1</v>
      </c>
      <c r="R4" s="4">
        <v>2003</v>
      </c>
      <c r="S4" s="32"/>
      <c r="T4" s="54"/>
      <c r="U4" s="32">
        <v>1</v>
      </c>
      <c r="V4" s="29">
        <v>1</v>
      </c>
      <c r="W4" s="4" t="s">
        <v>80</v>
      </c>
      <c r="X4" s="4">
        <v>2</v>
      </c>
      <c r="Y4" s="29" t="s">
        <v>91</v>
      </c>
      <c r="Z4" s="4"/>
      <c r="AA4" s="4" t="s">
        <v>91</v>
      </c>
      <c r="AB4" s="4" t="s">
        <v>91</v>
      </c>
      <c r="AC4" s="23" t="s">
        <v>92</v>
      </c>
      <c r="AD4" s="23" t="s">
        <v>72</v>
      </c>
      <c r="AE4" s="24" t="s">
        <v>93</v>
      </c>
      <c r="AF4" s="4" t="s">
        <v>84</v>
      </c>
      <c r="AG4" s="4">
        <v>3.47</v>
      </c>
      <c r="AH4" s="4" t="s">
        <v>84</v>
      </c>
      <c r="AI4" s="4">
        <v>3.9</v>
      </c>
      <c r="AJ4" s="4" t="s">
        <v>75</v>
      </c>
      <c r="AK4" s="64">
        <v>1.74</v>
      </c>
      <c r="AL4" s="61">
        <v>2.4999999999999929</v>
      </c>
      <c r="AM4" s="13">
        <v>14.087352051956401</v>
      </c>
      <c r="AN4" s="13">
        <v>33.713005000759836</v>
      </c>
      <c r="AO4" s="14">
        <v>1</v>
      </c>
      <c r="AP4" s="14">
        <v>2</v>
      </c>
      <c r="AQ4" s="13">
        <f>Table13[[#This Row],[Share of Domestic Debt (2023)]]-Table13[[#This Row],[Share of Domestic Debt (2005)]]</f>
        <v>19.625652948803435</v>
      </c>
      <c r="AR4" s="35" t="s">
        <v>94</v>
      </c>
      <c r="AS4" s="4" t="s">
        <v>86</v>
      </c>
      <c r="AT4" s="4">
        <v>0</v>
      </c>
      <c r="AU4" s="4">
        <v>8.9</v>
      </c>
      <c r="AV4" s="4">
        <v>20.100000000000001</v>
      </c>
      <c r="AW4" s="4">
        <v>5.2</v>
      </c>
      <c r="AX4" s="4">
        <v>31.6</v>
      </c>
      <c r="AY4" s="4">
        <v>0</v>
      </c>
      <c r="AZ4" s="4">
        <v>34.200000000000003</v>
      </c>
      <c r="BA4" s="34">
        <v>1.6992339412436255</v>
      </c>
      <c r="BB4" s="13">
        <v>1.5822543725615472</v>
      </c>
      <c r="BC4" s="13">
        <v>7.2674422702800321</v>
      </c>
      <c r="BD4" s="13">
        <v>11.727214166916269</v>
      </c>
      <c r="BE4" s="14">
        <v>1</v>
      </c>
      <c r="BF4" s="14">
        <v>3</v>
      </c>
      <c r="BG4" s="14">
        <v>1</v>
      </c>
      <c r="BH4" s="14">
        <v>3</v>
      </c>
      <c r="BI4" s="14" t="s">
        <v>95</v>
      </c>
    </row>
    <row r="5" spans="1:61" ht="16" x14ac:dyDescent="0.25">
      <c r="A5" t="s">
        <v>96</v>
      </c>
      <c r="C5" s="4">
        <v>1</v>
      </c>
      <c r="D5" s="4" t="s">
        <v>79</v>
      </c>
      <c r="E5" s="4"/>
      <c r="F5" s="4"/>
      <c r="G5" s="4"/>
      <c r="H5" s="4">
        <v>1</v>
      </c>
      <c r="I5" s="55"/>
      <c r="J5" s="56"/>
      <c r="K5" s="4">
        <v>0</v>
      </c>
      <c r="L5" s="4"/>
      <c r="M5" s="4"/>
      <c r="N5" s="4">
        <v>0</v>
      </c>
      <c r="O5" s="4">
        <v>0</v>
      </c>
      <c r="P5" s="4"/>
      <c r="Q5" s="29"/>
      <c r="R5" s="4"/>
      <c r="S5" s="32"/>
      <c r="T5" s="54"/>
      <c r="U5" s="32">
        <v>1</v>
      </c>
      <c r="V5" s="29"/>
      <c r="W5" s="4" t="s">
        <v>80</v>
      </c>
      <c r="X5" s="4">
        <v>3</v>
      </c>
      <c r="Y5" s="29" t="s">
        <v>91</v>
      </c>
      <c r="Z5" s="4"/>
      <c r="AA5" s="4" t="s">
        <v>91</v>
      </c>
      <c r="AB5" s="4" t="s">
        <v>91</v>
      </c>
      <c r="AC5" s="23" t="s">
        <v>97</v>
      </c>
      <c r="AD5" s="23" t="s">
        <v>72</v>
      </c>
      <c r="AE5" s="24" t="s">
        <v>93</v>
      </c>
      <c r="AF5" s="4" t="s">
        <v>98</v>
      </c>
      <c r="AG5" s="4">
        <v>3.68</v>
      </c>
      <c r="AH5" s="4" t="s">
        <v>98</v>
      </c>
      <c r="AI5" s="4">
        <v>3.75</v>
      </c>
      <c r="AJ5" s="4" t="s">
        <v>75</v>
      </c>
      <c r="AK5" s="64">
        <v>2</v>
      </c>
      <c r="AL5" s="61">
        <v>2</v>
      </c>
      <c r="AM5" s="13">
        <v>1.5759486892271752</v>
      </c>
      <c r="AN5" s="13">
        <v>4.9843135739956921</v>
      </c>
      <c r="AO5" s="14">
        <v>1</v>
      </c>
      <c r="AP5" s="14">
        <v>1</v>
      </c>
      <c r="AQ5" s="13">
        <f>Table13[[#This Row],[Share of Domestic Debt (2023)]]-Table13[[#This Row],[Share of Domestic Debt (2005)]]</f>
        <v>3.4083648847685168</v>
      </c>
      <c r="AR5" s="35" t="s">
        <v>99</v>
      </c>
      <c r="AS5" s="4" t="s">
        <v>77</v>
      </c>
      <c r="AT5" s="4">
        <v>0</v>
      </c>
      <c r="AU5" s="4">
        <v>0</v>
      </c>
      <c r="AV5" s="4">
        <v>1.1000000000000001</v>
      </c>
      <c r="AW5" s="4">
        <v>74.5</v>
      </c>
      <c r="AX5" s="4">
        <v>10.1</v>
      </c>
      <c r="AY5" s="4">
        <v>0</v>
      </c>
      <c r="AZ5" s="4">
        <v>14.2</v>
      </c>
      <c r="BA5" s="34">
        <v>3.6549414730362608</v>
      </c>
      <c r="BB5" s="13">
        <v>3.860340703890845</v>
      </c>
      <c r="BC5" s="13">
        <v>4.7982723712914686</v>
      </c>
      <c r="BD5" s="13">
        <v>6.5746781640256273</v>
      </c>
      <c r="BE5" s="14">
        <v>2</v>
      </c>
      <c r="BF5" s="14">
        <v>2</v>
      </c>
      <c r="BG5" s="14">
        <v>2</v>
      </c>
      <c r="BH5" s="14">
        <v>2</v>
      </c>
      <c r="BI5" s="14" t="s">
        <v>100</v>
      </c>
    </row>
    <row r="6" spans="1:61" ht="16" x14ac:dyDescent="0.25">
      <c r="A6" t="s">
        <v>101</v>
      </c>
      <c r="C6" s="4">
        <v>1</v>
      </c>
      <c r="D6" s="4" t="s">
        <v>89</v>
      </c>
      <c r="E6" s="4" t="s">
        <v>90</v>
      </c>
      <c r="F6" s="4">
        <v>1</v>
      </c>
      <c r="G6" s="4">
        <v>1</v>
      </c>
      <c r="H6" s="4"/>
      <c r="I6" s="55">
        <v>1</v>
      </c>
      <c r="J6" s="56">
        <v>1</v>
      </c>
      <c r="K6" s="4">
        <v>1</v>
      </c>
      <c r="L6" s="4">
        <v>1</v>
      </c>
      <c r="M6" s="4">
        <v>5</v>
      </c>
      <c r="N6" s="4">
        <v>1</v>
      </c>
      <c r="O6" s="4">
        <v>1</v>
      </c>
      <c r="P6" s="4"/>
      <c r="Q6" s="29">
        <v>1</v>
      </c>
      <c r="R6" s="4" t="s">
        <v>102</v>
      </c>
      <c r="S6" s="32"/>
      <c r="T6" s="54">
        <v>1</v>
      </c>
      <c r="U6" s="32"/>
      <c r="V6" s="29"/>
      <c r="W6" s="4">
        <v>1</v>
      </c>
      <c r="X6" s="4">
        <v>1</v>
      </c>
      <c r="Y6" s="29" t="s">
        <v>91</v>
      </c>
      <c r="Z6" s="4"/>
      <c r="AA6" s="4" t="s">
        <v>91</v>
      </c>
      <c r="AB6" s="4" t="s">
        <v>91</v>
      </c>
      <c r="AC6" s="23" t="s">
        <v>82</v>
      </c>
      <c r="AD6" s="23" t="s">
        <v>72</v>
      </c>
      <c r="AE6" s="24" t="s">
        <v>93</v>
      </c>
      <c r="AF6" s="4" t="s">
        <v>98</v>
      </c>
      <c r="AG6" s="4">
        <v>3.77</v>
      </c>
      <c r="AH6" s="4" t="s">
        <v>84</v>
      </c>
      <c r="AI6" s="4">
        <v>3.43</v>
      </c>
      <c r="AJ6" s="4" t="s">
        <v>103</v>
      </c>
      <c r="AK6" s="64">
        <v>2.6749999999999998</v>
      </c>
      <c r="AL6" s="61">
        <v>0</v>
      </c>
      <c r="AM6" s="13">
        <v>18.494298352647746</v>
      </c>
      <c r="AN6" s="13">
        <v>57.130869282768124</v>
      </c>
      <c r="AO6" s="14">
        <v>2</v>
      </c>
      <c r="AP6" s="14">
        <v>4</v>
      </c>
      <c r="AQ6" s="13">
        <f>Table13[[#This Row],[Share of Domestic Debt (2023)]]-Table13[[#This Row],[Share of Domestic Debt (2005)]]</f>
        <v>38.636570930120378</v>
      </c>
      <c r="AR6" s="35" t="s">
        <v>104</v>
      </c>
      <c r="AS6" s="4" t="s">
        <v>86</v>
      </c>
      <c r="AT6" s="4">
        <v>0</v>
      </c>
      <c r="AU6" s="4">
        <v>2.4</v>
      </c>
      <c r="AV6" s="4">
        <v>0.6</v>
      </c>
      <c r="AW6" s="4">
        <v>9.6</v>
      </c>
      <c r="AX6" s="4">
        <v>47.3</v>
      </c>
      <c r="AY6" s="4">
        <v>0</v>
      </c>
      <c r="AZ6" s="4">
        <v>40.200000000000003</v>
      </c>
      <c r="BA6" s="34">
        <v>6.3160789224226397</v>
      </c>
      <c r="BB6" s="13">
        <v>3.6566385785963038</v>
      </c>
      <c r="BC6" s="13">
        <v>6.413710303568501</v>
      </c>
      <c r="BD6" s="13">
        <v>8.6155789802781015</v>
      </c>
      <c r="BE6" s="14">
        <v>2</v>
      </c>
      <c r="BF6" s="14">
        <v>3</v>
      </c>
      <c r="BG6" s="14">
        <v>3</v>
      </c>
      <c r="BH6" s="14">
        <v>3</v>
      </c>
      <c r="BI6" s="14" t="s">
        <v>105</v>
      </c>
    </row>
    <row r="7" spans="1:61" ht="16" x14ac:dyDescent="0.25">
      <c r="A7" t="s">
        <v>106</v>
      </c>
      <c r="C7" s="4">
        <v>1</v>
      </c>
      <c r="D7" s="4" t="s">
        <v>89</v>
      </c>
      <c r="E7" s="4" t="s">
        <v>107</v>
      </c>
      <c r="F7" s="4">
        <v>1</v>
      </c>
      <c r="G7" s="4">
        <v>1</v>
      </c>
      <c r="H7" s="4"/>
      <c r="I7" s="55">
        <v>1</v>
      </c>
      <c r="J7" s="56">
        <v>1</v>
      </c>
      <c r="K7" s="4">
        <v>1</v>
      </c>
      <c r="L7" s="4"/>
      <c r="M7" s="4">
        <v>3</v>
      </c>
      <c r="N7" s="4">
        <v>1</v>
      </c>
      <c r="O7" s="4">
        <v>1</v>
      </c>
      <c r="P7" s="4"/>
      <c r="Q7" s="29">
        <v>1</v>
      </c>
      <c r="R7" s="4">
        <v>2009</v>
      </c>
      <c r="S7" s="32"/>
      <c r="T7" s="54">
        <v>1</v>
      </c>
      <c r="U7" s="32"/>
      <c r="V7" s="29"/>
      <c r="W7" s="4">
        <v>1</v>
      </c>
      <c r="X7" s="4">
        <v>1</v>
      </c>
      <c r="Y7" s="29" t="s">
        <v>70</v>
      </c>
      <c r="Z7" s="4" t="s">
        <v>70</v>
      </c>
      <c r="AA7" s="4" t="s">
        <v>70</v>
      </c>
      <c r="AB7" s="4" t="s">
        <v>70</v>
      </c>
      <c r="AC7" s="23" t="s">
        <v>108</v>
      </c>
      <c r="AD7" s="23" t="s">
        <v>72</v>
      </c>
      <c r="AE7" s="24" t="s">
        <v>73</v>
      </c>
      <c r="AF7" s="4" t="s">
        <v>74</v>
      </c>
      <c r="AG7" s="4">
        <v>3.24</v>
      </c>
      <c r="AH7" s="4" t="s">
        <v>74</v>
      </c>
      <c r="AI7" s="4">
        <v>3.07</v>
      </c>
      <c r="AJ7" s="4" t="s">
        <v>75</v>
      </c>
      <c r="AK7" s="64">
        <v>7</v>
      </c>
      <c r="AL7" s="61">
        <v>0</v>
      </c>
      <c r="AM7" s="13">
        <v>29.097606169550289</v>
      </c>
      <c r="AN7" s="13">
        <v>74.486090398555149</v>
      </c>
      <c r="AO7" s="14">
        <v>3</v>
      </c>
      <c r="AP7" s="14">
        <v>4</v>
      </c>
      <c r="AQ7" s="13">
        <f>Table13[[#This Row],[Share of Domestic Debt (2023)]]-Table13[[#This Row],[Share of Domestic Debt (2005)]]</f>
        <v>45.38848422900486</v>
      </c>
      <c r="AR7" s="35" t="s">
        <v>104</v>
      </c>
      <c r="AS7" s="4" t="s">
        <v>86</v>
      </c>
      <c r="AT7" s="4">
        <v>0</v>
      </c>
      <c r="AU7" s="4">
        <v>5.2</v>
      </c>
      <c r="AV7" s="4">
        <v>0</v>
      </c>
      <c r="AW7" s="4">
        <v>22.4</v>
      </c>
      <c r="AX7" s="4">
        <v>29.8</v>
      </c>
      <c r="AY7" s="4">
        <v>0</v>
      </c>
      <c r="AZ7" s="4">
        <v>42.5</v>
      </c>
      <c r="BA7" s="34">
        <v>32.274336908160876</v>
      </c>
      <c r="BB7" s="13">
        <v>11.72211904571769</v>
      </c>
      <c r="BC7" s="13">
        <v>27.232054981897114</v>
      </c>
      <c r="BD7" s="13">
        <v>12.440850789643079</v>
      </c>
      <c r="BE7" s="14">
        <v>4</v>
      </c>
      <c r="BF7" s="14">
        <v>3</v>
      </c>
      <c r="BG7" s="14">
        <v>4</v>
      </c>
      <c r="BH7" s="14">
        <v>4</v>
      </c>
      <c r="BI7" s="14" t="s">
        <v>87</v>
      </c>
    </row>
    <row r="8" spans="1:61" ht="16" x14ac:dyDescent="0.25">
      <c r="A8" t="s">
        <v>109</v>
      </c>
      <c r="C8" s="4"/>
      <c r="D8" s="4" t="s">
        <v>89</v>
      </c>
      <c r="E8" s="4"/>
      <c r="F8" s="4"/>
      <c r="G8" s="4"/>
      <c r="H8" s="4">
        <v>1</v>
      </c>
      <c r="I8" s="55">
        <v>1</v>
      </c>
      <c r="J8" s="56">
        <v>1</v>
      </c>
      <c r="K8" s="4">
        <v>1</v>
      </c>
      <c r="L8" s="4">
        <v>1</v>
      </c>
      <c r="M8" s="4">
        <v>1</v>
      </c>
      <c r="N8" s="4">
        <v>0</v>
      </c>
      <c r="O8" s="4">
        <v>0</v>
      </c>
      <c r="P8" s="4">
        <v>1</v>
      </c>
      <c r="Q8" s="29"/>
      <c r="R8" s="4"/>
      <c r="S8" s="32"/>
      <c r="T8" s="54">
        <v>1</v>
      </c>
      <c r="U8" s="32"/>
      <c r="V8" s="29"/>
      <c r="W8" s="4" t="s">
        <v>80</v>
      </c>
      <c r="X8" s="4">
        <v>4</v>
      </c>
      <c r="Y8" s="29" t="s">
        <v>81</v>
      </c>
      <c r="Z8" s="4"/>
      <c r="AA8" s="4" t="s">
        <v>91</v>
      </c>
      <c r="AB8" s="4" t="s">
        <v>70</v>
      </c>
      <c r="AC8" s="23" t="s">
        <v>110</v>
      </c>
      <c r="AD8" s="23" t="s">
        <v>72</v>
      </c>
      <c r="AE8" s="24" t="s">
        <v>111</v>
      </c>
      <c r="AF8" s="4" t="s">
        <v>98</v>
      </c>
      <c r="AG8" s="4">
        <v>3.92</v>
      </c>
      <c r="AH8" s="4" t="s">
        <v>98</v>
      </c>
      <c r="AI8" s="4">
        <v>3.88</v>
      </c>
      <c r="AJ8" s="4" t="s">
        <v>75</v>
      </c>
      <c r="AK8" s="64">
        <v>24.7</v>
      </c>
      <c r="AL8" s="61">
        <v>1.1000000000000014</v>
      </c>
      <c r="AM8" s="13">
        <v>47.642889118270148</v>
      </c>
      <c r="AN8" s="13">
        <v>34.995070427003924</v>
      </c>
      <c r="AO8" s="14">
        <v>4</v>
      </c>
      <c r="AP8" s="14">
        <v>2</v>
      </c>
      <c r="AQ8" s="13">
        <f>Table13[[#This Row],[Share of Domestic Debt (2023)]]-Table13[[#This Row],[Share of Domestic Debt (2005)]]</f>
        <v>-12.647818691266224</v>
      </c>
      <c r="AR8" s="35" t="s">
        <v>112</v>
      </c>
      <c r="AS8" s="4" t="s">
        <v>86</v>
      </c>
      <c r="AT8" s="4">
        <v>0</v>
      </c>
      <c r="AU8" s="4">
        <v>1.7</v>
      </c>
      <c r="AV8" s="4">
        <v>28.1</v>
      </c>
      <c r="AW8" s="4">
        <v>20.5</v>
      </c>
      <c r="AX8" s="4">
        <v>24.1</v>
      </c>
      <c r="AY8" s="4">
        <v>0</v>
      </c>
      <c r="AZ8" s="4">
        <v>25.6</v>
      </c>
      <c r="BA8" s="34">
        <v>6.0301994988879084</v>
      </c>
      <c r="BB8" s="13">
        <v>7.2454494055641225</v>
      </c>
      <c r="BC8" s="13">
        <v>5.7187078178968527</v>
      </c>
      <c r="BD8" s="13">
        <v>8.2196817270836178</v>
      </c>
      <c r="BE8" s="14">
        <v>3</v>
      </c>
      <c r="BF8" s="14">
        <v>3</v>
      </c>
      <c r="BG8" s="14">
        <v>3</v>
      </c>
      <c r="BH8" s="14">
        <v>2</v>
      </c>
      <c r="BI8" s="14" t="s">
        <v>113</v>
      </c>
    </row>
    <row r="9" spans="1:61" ht="16" x14ac:dyDescent="0.25">
      <c r="A9" t="s">
        <v>114</v>
      </c>
      <c r="C9" s="4">
        <v>1</v>
      </c>
      <c r="D9" s="4" t="s">
        <v>79</v>
      </c>
      <c r="E9" s="4"/>
      <c r="F9" s="4"/>
      <c r="G9" s="4"/>
      <c r="H9" s="4"/>
      <c r="I9" s="55">
        <v>1</v>
      </c>
      <c r="J9" s="56"/>
      <c r="K9" s="4">
        <v>0</v>
      </c>
      <c r="L9" s="4"/>
      <c r="M9" s="4"/>
      <c r="N9" s="4">
        <v>0</v>
      </c>
      <c r="O9" s="4">
        <v>0</v>
      </c>
      <c r="P9" s="4"/>
      <c r="Q9" s="29"/>
      <c r="R9" s="4"/>
      <c r="S9" s="32"/>
      <c r="T9" s="54"/>
      <c r="U9" s="32">
        <v>1</v>
      </c>
      <c r="V9" s="29"/>
      <c r="W9" s="4" t="s">
        <v>80</v>
      </c>
      <c r="X9" s="4">
        <v>2</v>
      </c>
      <c r="Y9" s="29" t="s">
        <v>70</v>
      </c>
      <c r="Z9" s="4"/>
      <c r="AA9" s="4" t="s">
        <v>81</v>
      </c>
      <c r="AB9" s="4" t="s">
        <v>81</v>
      </c>
      <c r="AC9" s="23" t="s">
        <v>92</v>
      </c>
      <c r="AD9" s="23" t="s">
        <v>72</v>
      </c>
      <c r="AE9" s="24" t="s">
        <v>115</v>
      </c>
      <c r="AF9" s="4" t="s">
        <v>84</v>
      </c>
      <c r="AG9" s="4">
        <v>3.45</v>
      </c>
      <c r="AH9" s="4" t="s">
        <v>84</v>
      </c>
      <c r="AI9" s="4">
        <v>3.57</v>
      </c>
      <c r="AJ9" s="4" t="s">
        <v>75</v>
      </c>
      <c r="AK9" s="64">
        <v>0</v>
      </c>
      <c r="AL9" s="61">
        <v>6.9666666666666686</v>
      </c>
      <c r="AM9" s="13">
        <v>0</v>
      </c>
      <c r="AN9" s="13">
        <v>0.78798785333536614</v>
      </c>
      <c r="AO9" s="14">
        <v>1</v>
      </c>
      <c r="AP9" s="14">
        <v>1</v>
      </c>
      <c r="AQ9" s="13">
        <f>Table13[[#This Row],[Share of Domestic Debt (2023)]]-Table13[[#This Row],[Share of Domestic Debt (2005)]]</f>
        <v>0.78798785333536614</v>
      </c>
      <c r="AR9" s="35" t="s">
        <v>99</v>
      </c>
      <c r="AS9" s="4" t="s">
        <v>116</v>
      </c>
      <c r="AT9" s="4">
        <v>1</v>
      </c>
      <c r="AU9" s="4">
        <v>44.8</v>
      </c>
      <c r="AV9" s="4">
        <v>0</v>
      </c>
      <c r="AW9" s="4">
        <v>24.5</v>
      </c>
      <c r="AX9" s="4">
        <v>9</v>
      </c>
      <c r="AY9" s="4">
        <v>0</v>
      </c>
      <c r="AZ9" s="4">
        <v>21.7</v>
      </c>
      <c r="BA9" s="34">
        <v>0.3346629192933448</v>
      </c>
      <c r="BB9" s="13">
        <v>1.7950473189638712</v>
      </c>
      <c r="BC9" s="13">
        <v>0.23121531940976275</v>
      </c>
      <c r="BD9" s="13">
        <v>0.96813710317416934</v>
      </c>
      <c r="BE9" s="14">
        <v>1</v>
      </c>
      <c r="BF9" s="14">
        <v>1</v>
      </c>
      <c r="BG9" s="14">
        <v>1</v>
      </c>
      <c r="BH9" s="14">
        <v>1</v>
      </c>
      <c r="BI9" s="14" t="s">
        <v>99</v>
      </c>
    </row>
    <row r="10" spans="1:61" ht="16" x14ac:dyDescent="0.25">
      <c r="A10" t="s">
        <v>117</v>
      </c>
      <c r="C10" s="4">
        <v>1</v>
      </c>
      <c r="D10" s="4" t="s">
        <v>89</v>
      </c>
      <c r="E10" s="4" t="s">
        <v>118</v>
      </c>
      <c r="F10" s="4"/>
      <c r="G10" s="4">
        <v>1</v>
      </c>
      <c r="H10" s="4"/>
      <c r="I10" s="55">
        <v>1</v>
      </c>
      <c r="J10" s="56">
        <v>1</v>
      </c>
      <c r="K10" s="4">
        <v>1</v>
      </c>
      <c r="L10" s="4">
        <v>1</v>
      </c>
      <c r="M10" s="4">
        <v>3</v>
      </c>
      <c r="N10" s="4">
        <v>1</v>
      </c>
      <c r="O10" s="4">
        <v>1</v>
      </c>
      <c r="P10" s="4">
        <v>1</v>
      </c>
      <c r="Q10" s="29">
        <v>1</v>
      </c>
      <c r="R10" s="4">
        <v>2006</v>
      </c>
      <c r="S10" s="32"/>
      <c r="T10" s="54">
        <v>1</v>
      </c>
      <c r="U10" s="32"/>
      <c r="V10" s="29">
        <v>1</v>
      </c>
      <c r="W10" s="4" t="s">
        <v>80</v>
      </c>
      <c r="X10" s="4">
        <v>2</v>
      </c>
      <c r="Y10" s="29" t="s">
        <v>81</v>
      </c>
      <c r="Z10" s="4" t="s">
        <v>81</v>
      </c>
      <c r="AA10" s="4" t="s">
        <v>70</v>
      </c>
      <c r="AB10" s="4" t="s">
        <v>70</v>
      </c>
      <c r="AC10" s="23" t="s">
        <v>119</v>
      </c>
      <c r="AD10" s="23" t="s">
        <v>72</v>
      </c>
      <c r="AE10" s="24" t="s">
        <v>111</v>
      </c>
      <c r="AF10" s="4" t="s">
        <v>74</v>
      </c>
      <c r="AG10" s="4">
        <v>3.23</v>
      </c>
      <c r="AH10" s="4" t="s">
        <v>74</v>
      </c>
      <c r="AI10" s="4">
        <v>3.33</v>
      </c>
      <c r="AJ10" s="4" t="s">
        <v>75</v>
      </c>
      <c r="AK10" s="64">
        <v>5.6857142857142851</v>
      </c>
      <c r="AL10" s="61">
        <v>2.9571428571428626</v>
      </c>
      <c r="AM10" s="13">
        <v>20.661874347439422</v>
      </c>
      <c r="AN10" s="13">
        <v>43.908083489662197</v>
      </c>
      <c r="AO10" s="14">
        <v>2</v>
      </c>
      <c r="AP10" s="14">
        <v>2</v>
      </c>
      <c r="AQ10" s="13">
        <f>Table13[[#This Row],[Share of Domestic Debt (2023)]]-Table13[[#This Row],[Share of Domestic Debt (2005)]]</f>
        <v>23.246209142222774</v>
      </c>
      <c r="AR10" s="35" t="s">
        <v>94</v>
      </c>
      <c r="AS10" s="4" t="s">
        <v>86</v>
      </c>
      <c r="AT10" s="4">
        <v>1</v>
      </c>
      <c r="AU10" s="4">
        <v>34.799999999999997</v>
      </c>
      <c r="AV10" s="4">
        <v>12.4</v>
      </c>
      <c r="AW10" s="4">
        <v>17</v>
      </c>
      <c r="AX10" s="4">
        <v>16.600000000000001</v>
      </c>
      <c r="AY10" s="4">
        <v>0.2</v>
      </c>
      <c r="AZ10" s="4">
        <v>18.899999999999999</v>
      </c>
      <c r="BA10" s="34">
        <v>5.7862215933251715</v>
      </c>
      <c r="BB10" s="13">
        <v>8.1197387554656562</v>
      </c>
      <c r="BC10" s="13">
        <v>5.7830794315530163</v>
      </c>
      <c r="BD10" s="13">
        <v>6.2148849438769647</v>
      </c>
      <c r="BE10" s="14">
        <v>3</v>
      </c>
      <c r="BF10" s="14">
        <v>2</v>
      </c>
      <c r="BG10" s="14">
        <v>3</v>
      </c>
      <c r="BH10" s="14">
        <v>3</v>
      </c>
      <c r="BI10" s="14" t="s">
        <v>113</v>
      </c>
    </row>
    <row r="11" spans="1:61" ht="16" x14ac:dyDescent="0.25">
      <c r="A11" t="s">
        <v>120</v>
      </c>
      <c r="C11" s="4">
        <v>1</v>
      </c>
      <c r="D11" s="4" t="s">
        <v>89</v>
      </c>
      <c r="E11" s="4" t="s">
        <v>118</v>
      </c>
      <c r="F11" s="4">
        <v>1</v>
      </c>
      <c r="G11" s="4">
        <v>1</v>
      </c>
      <c r="H11" s="4"/>
      <c r="I11" s="55">
        <v>1</v>
      </c>
      <c r="J11" s="56">
        <v>1</v>
      </c>
      <c r="K11" s="4">
        <v>1</v>
      </c>
      <c r="L11" s="4">
        <v>1</v>
      </c>
      <c r="M11" s="4">
        <v>5</v>
      </c>
      <c r="N11" s="4">
        <v>1</v>
      </c>
      <c r="O11" s="4">
        <v>1</v>
      </c>
      <c r="P11" s="4"/>
      <c r="Q11" s="29">
        <v>1</v>
      </c>
      <c r="R11" s="4">
        <v>2009</v>
      </c>
      <c r="S11" s="32"/>
      <c r="T11" s="29">
        <v>1</v>
      </c>
      <c r="U11" s="4"/>
      <c r="V11" s="29"/>
      <c r="W11" s="4">
        <v>1</v>
      </c>
      <c r="X11" s="4">
        <v>1</v>
      </c>
      <c r="Y11" s="29"/>
      <c r="Z11" s="4" t="s">
        <v>91</v>
      </c>
      <c r="AA11" s="4" t="s">
        <v>70</v>
      </c>
      <c r="AB11" s="4" t="s">
        <v>70</v>
      </c>
      <c r="AC11" s="23" t="s">
        <v>82</v>
      </c>
      <c r="AD11" s="23" t="s">
        <v>72</v>
      </c>
      <c r="AE11" s="24" t="s">
        <v>111</v>
      </c>
      <c r="AF11" s="4" t="s">
        <v>74</v>
      </c>
      <c r="AG11" s="4">
        <v>2.71</v>
      </c>
      <c r="AH11" s="4" t="s">
        <v>74</v>
      </c>
      <c r="AI11" s="4">
        <v>2.59</v>
      </c>
      <c r="AJ11" s="4" t="s">
        <v>75</v>
      </c>
      <c r="AK11" s="64">
        <v>5</v>
      </c>
      <c r="AL11" s="61">
        <v>0</v>
      </c>
      <c r="AM11" s="13">
        <v>35.748758121913056</v>
      </c>
      <c r="AN11" s="13">
        <v>70.990408695370888</v>
      </c>
      <c r="AO11" s="14">
        <v>4</v>
      </c>
      <c r="AP11" s="14">
        <v>4</v>
      </c>
      <c r="AQ11" s="13">
        <f>Table13[[#This Row],[Share of Domestic Debt (2023)]]-Table13[[#This Row],[Share of Domestic Debt (2005)]]</f>
        <v>35.241650573457832</v>
      </c>
      <c r="AR11" s="35" t="s">
        <v>104</v>
      </c>
      <c r="AS11" s="4" t="s">
        <v>77</v>
      </c>
      <c r="AT11" s="4">
        <v>1</v>
      </c>
      <c r="AU11" s="4">
        <v>17.8</v>
      </c>
      <c r="AV11" s="4">
        <v>4.3</v>
      </c>
      <c r="AW11" s="4">
        <v>46.6</v>
      </c>
      <c r="AX11" s="4">
        <v>22.6</v>
      </c>
      <c r="AY11" s="4">
        <v>0</v>
      </c>
      <c r="AZ11" s="4">
        <v>8.6999999999999993</v>
      </c>
      <c r="BA11" s="34">
        <v>7.4568581906848692</v>
      </c>
      <c r="BB11" s="13">
        <v>7.6773834084883781</v>
      </c>
      <c r="BC11" s="13">
        <v>6.8857966934688877</v>
      </c>
      <c r="BD11" s="13">
        <v>6.8914243166433256</v>
      </c>
      <c r="BE11" s="14">
        <v>3</v>
      </c>
      <c r="BF11" s="14">
        <v>2</v>
      </c>
      <c r="BG11" s="14">
        <v>3</v>
      </c>
      <c r="BH11" s="14">
        <v>3</v>
      </c>
      <c r="BI11" s="14" t="s">
        <v>113</v>
      </c>
    </row>
    <row r="12" spans="1:61" ht="16" x14ac:dyDescent="0.25">
      <c r="A12" t="s">
        <v>121</v>
      </c>
      <c r="B12">
        <v>1</v>
      </c>
      <c r="C12" s="4">
        <v>1</v>
      </c>
      <c r="D12" s="4" t="s">
        <v>89</v>
      </c>
      <c r="E12" s="4" t="s">
        <v>118</v>
      </c>
      <c r="F12" s="4">
        <v>1</v>
      </c>
      <c r="G12" s="4">
        <v>1</v>
      </c>
      <c r="H12" s="4"/>
      <c r="I12" s="55">
        <v>1</v>
      </c>
      <c r="J12" s="56">
        <v>1</v>
      </c>
      <c r="K12" s="4">
        <v>1</v>
      </c>
      <c r="L12" s="4"/>
      <c r="M12" s="4">
        <v>4</v>
      </c>
      <c r="N12" s="4">
        <v>1</v>
      </c>
      <c r="O12" s="4">
        <v>1</v>
      </c>
      <c r="P12" s="4"/>
      <c r="Q12" s="29">
        <v>1</v>
      </c>
      <c r="R12" s="4">
        <v>2015</v>
      </c>
      <c r="S12" s="33">
        <v>1</v>
      </c>
      <c r="T12" s="29">
        <v>1</v>
      </c>
      <c r="U12" s="4"/>
      <c r="V12" s="29"/>
      <c r="W12" s="4">
        <v>1</v>
      </c>
      <c r="X12" s="4">
        <v>1</v>
      </c>
      <c r="Y12" s="29" t="s">
        <v>70</v>
      </c>
      <c r="Z12" s="4" t="s">
        <v>70</v>
      </c>
      <c r="AA12" s="4" t="s">
        <v>70</v>
      </c>
      <c r="AB12" s="4" t="s">
        <v>70</v>
      </c>
      <c r="AC12" s="23" t="s">
        <v>122</v>
      </c>
      <c r="AD12" s="23" t="s">
        <v>123</v>
      </c>
      <c r="AE12" s="24" t="s">
        <v>73</v>
      </c>
      <c r="AF12" s="4" t="s">
        <v>74</v>
      </c>
      <c r="AG12" s="4">
        <v>2.5099999999999998</v>
      </c>
      <c r="AH12" s="4" t="s">
        <v>74</v>
      </c>
      <c r="AI12" s="4">
        <v>2.7</v>
      </c>
      <c r="AJ12" s="4" t="s">
        <v>75</v>
      </c>
      <c r="AK12" s="64">
        <v>7.625</v>
      </c>
      <c r="AL12" s="61">
        <v>0</v>
      </c>
      <c r="AM12" s="13">
        <v>15.758666410573255</v>
      </c>
      <c r="AN12" s="13">
        <v>61.878561577868595</v>
      </c>
      <c r="AO12" s="14">
        <v>2</v>
      </c>
      <c r="AP12" s="14">
        <v>4</v>
      </c>
      <c r="AQ12" s="13">
        <f>Table13[[#This Row],[Share of Domestic Debt (2023)]]-Table13[[#This Row],[Share of Domestic Debt (2005)]]</f>
        <v>46.11989516729534</v>
      </c>
      <c r="AR12" s="35" t="s">
        <v>104</v>
      </c>
      <c r="AS12" s="4" t="s">
        <v>124</v>
      </c>
      <c r="AT12" s="4">
        <v>0</v>
      </c>
      <c r="AU12" s="4">
        <v>9.6999999999999993</v>
      </c>
      <c r="AV12" s="4">
        <v>39.799999999999997</v>
      </c>
      <c r="AW12" s="4">
        <v>23.2</v>
      </c>
      <c r="AX12" s="4">
        <v>8.1</v>
      </c>
      <c r="AY12" s="4">
        <v>0</v>
      </c>
      <c r="AZ12" s="4">
        <v>19.3</v>
      </c>
      <c r="BA12" s="34">
        <v>0.61715062637702811</v>
      </c>
      <c r="BB12" s="13">
        <v>2.5788165987288267</v>
      </c>
      <c r="BC12" s="13">
        <v>3.360864875087028</v>
      </c>
      <c r="BD12" s="13">
        <v>6.4891844833818544</v>
      </c>
      <c r="BE12" s="14">
        <v>1</v>
      </c>
      <c r="BF12" s="14">
        <v>2</v>
      </c>
      <c r="BG12" s="14">
        <v>1</v>
      </c>
      <c r="BH12" s="14">
        <v>1</v>
      </c>
      <c r="BI12" s="14" t="s">
        <v>99</v>
      </c>
    </row>
    <row r="13" spans="1:61" ht="16" x14ac:dyDescent="0.25">
      <c r="A13" t="s">
        <v>125</v>
      </c>
      <c r="C13" s="4">
        <v>1</v>
      </c>
      <c r="D13" s="4" t="s">
        <v>89</v>
      </c>
      <c r="E13" s="4"/>
      <c r="F13" s="4"/>
      <c r="G13" s="4">
        <v>1</v>
      </c>
      <c r="H13" s="4">
        <v>1</v>
      </c>
      <c r="I13" s="55"/>
      <c r="J13" s="56"/>
      <c r="K13" s="4">
        <v>1</v>
      </c>
      <c r="L13" s="4">
        <v>1</v>
      </c>
      <c r="M13" s="4">
        <v>2</v>
      </c>
      <c r="N13" s="4">
        <v>1</v>
      </c>
      <c r="O13" s="4">
        <v>0</v>
      </c>
      <c r="P13" s="4"/>
      <c r="Q13" s="29">
        <v>1</v>
      </c>
      <c r="R13" s="4">
        <v>2012</v>
      </c>
      <c r="S13" s="32"/>
      <c r="T13" s="29">
        <v>1</v>
      </c>
      <c r="U13" s="4"/>
      <c r="V13" s="29"/>
      <c r="W13" s="4" t="s">
        <v>126</v>
      </c>
      <c r="X13" s="4">
        <v>2</v>
      </c>
      <c r="Y13" s="29" t="s">
        <v>127</v>
      </c>
      <c r="Z13" s="4" t="s">
        <v>70</v>
      </c>
      <c r="AA13" s="4" t="s">
        <v>128</v>
      </c>
      <c r="AB13" s="4" t="s">
        <v>70</v>
      </c>
      <c r="AC13" s="23" t="s">
        <v>92</v>
      </c>
      <c r="AD13" s="23" t="s">
        <v>72</v>
      </c>
      <c r="AE13" s="24" t="s">
        <v>73</v>
      </c>
      <c r="AF13" s="4" t="s">
        <v>74</v>
      </c>
      <c r="AG13" s="4">
        <v>2.78</v>
      </c>
      <c r="AH13" s="4" t="s">
        <v>84</v>
      </c>
      <c r="AI13" s="4">
        <v>2.67</v>
      </c>
      <c r="AJ13" s="4" t="s">
        <v>129</v>
      </c>
      <c r="AK13" s="64">
        <v>2.4</v>
      </c>
      <c r="AL13" s="61">
        <v>0</v>
      </c>
      <c r="AM13" s="13">
        <v>0</v>
      </c>
      <c r="AN13" s="13">
        <v>28.376021301155404</v>
      </c>
      <c r="AO13" s="14">
        <v>1</v>
      </c>
      <c r="AP13" s="14">
        <v>1</v>
      </c>
      <c r="AQ13" s="13">
        <f>Table13[[#This Row],[Share of Domestic Debt (2023)]]-Table13[[#This Row],[Share of Domestic Debt (2005)]]</f>
        <v>28.376021301155404</v>
      </c>
      <c r="AR13" s="35" t="s">
        <v>94</v>
      </c>
      <c r="AS13" s="4" t="s">
        <v>86</v>
      </c>
      <c r="AT13" s="4">
        <v>1</v>
      </c>
      <c r="AU13" s="4">
        <v>23.2</v>
      </c>
      <c r="AV13" s="4">
        <v>0</v>
      </c>
      <c r="AW13" s="4">
        <v>35.200000000000003</v>
      </c>
      <c r="AX13" s="4">
        <v>9.1999999999999993</v>
      </c>
      <c r="AY13" s="4">
        <v>8</v>
      </c>
      <c r="AZ13" s="4">
        <v>24.4</v>
      </c>
      <c r="BA13" s="34">
        <v>5.4554686889882733</v>
      </c>
      <c r="BB13" s="13">
        <v>3.8724702352323921</v>
      </c>
      <c r="BC13" s="13">
        <v>3.2666737981534322</v>
      </c>
      <c r="BD13" s="13">
        <v>2.2266489600268433</v>
      </c>
      <c r="BE13" s="14">
        <v>2</v>
      </c>
      <c r="BF13" s="14">
        <v>1</v>
      </c>
      <c r="BG13" s="14">
        <v>3</v>
      </c>
      <c r="BH13" s="14">
        <v>1</v>
      </c>
      <c r="BI13" s="14" t="s">
        <v>130</v>
      </c>
    </row>
    <row r="14" spans="1:61" ht="16" x14ac:dyDescent="0.25">
      <c r="A14" t="s">
        <v>131</v>
      </c>
      <c r="C14" s="4">
        <v>1</v>
      </c>
      <c r="D14" s="4" t="s">
        <v>89</v>
      </c>
      <c r="E14" s="4"/>
      <c r="F14" s="4">
        <v>1</v>
      </c>
      <c r="G14" s="4">
        <v>1</v>
      </c>
      <c r="H14" s="4"/>
      <c r="I14" s="55"/>
      <c r="J14" s="56"/>
      <c r="K14" s="4">
        <v>1</v>
      </c>
      <c r="L14" s="4">
        <v>1</v>
      </c>
      <c r="M14" s="4">
        <v>2</v>
      </c>
      <c r="N14" s="4">
        <v>1</v>
      </c>
      <c r="O14" s="4">
        <v>1</v>
      </c>
      <c r="P14" s="4">
        <v>1</v>
      </c>
      <c r="Q14" s="29">
        <v>1</v>
      </c>
      <c r="R14" s="4">
        <v>2010</v>
      </c>
      <c r="S14" s="32"/>
      <c r="T14" s="29">
        <v>1</v>
      </c>
      <c r="U14" s="4"/>
      <c r="V14" s="29"/>
      <c r="W14" s="4">
        <v>1</v>
      </c>
      <c r="X14" s="4">
        <v>1</v>
      </c>
      <c r="Y14" s="29"/>
      <c r="Z14" s="4" t="s">
        <v>70</v>
      </c>
      <c r="AA14" s="4" t="s">
        <v>91</v>
      </c>
      <c r="AB14" s="4" t="s">
        <v>91</v>
      </c>
      <c r="AC14" s="23" t="s">
        <v>132</v>
      </c>
      <c r="AD14" s="23" t="s">
        <v>72</v>
      </c>
      <c r="AE14" s="24" t="s">
        <v>115</v>
      </c>
      <c r="AF14" s="4" t="s">
        <v>74</v>
      </c>
      <c r="AG14" s="4">
        <v>2.71</v>
      </c>
      <c r="AH14" s="4" t="s">
        <v>74</v>
      </c>
      <c r="AI14" s="4">
        <v>3.18</v>
      </c>
      <c r="AJ14" s="4" t="s">
        <v>75</v>
      </c>
      <c r="AK14" s="64">
        <v>0.5</v>
      </c>
      <c r="AL14" s="61">
        <v>0</v>
      </c>
      <c r="AM14" s="13">
        <v>29.57220638470784</v>
      </c>
      <c r="AN14" s="13">
        <v>26.061691346255941</v>
      </c>
      <c r="AO14" s="14">
        <v>3</v>
      </c>
      <c r="AP14" s="14">
        <v>1</v>
      </c>
      <c r="AQ14" s="13">
        <f>Table13[[#This Row],[Share of Domestic Debt (2023)]]-Table13[[#This Row],[Share of Domestic Debt (2005)]]</f>
        <v>-3.5105150384518993</v>
      </c>
      <c r="AR14" s="35" t="s">
        <v>112</v>
      </c>
      <c r="AS14" s="4" t="s">
        <v>116</v>
      </c>
      <c r="AT14" s="4">
        <v>1</v>
      </c>
      <c r="AU14" s="4">
        <v>47.6</v>
      </c>
      <c r="AV14" s="4">
        <v>0.9</v>
      </c>
      <c r="AW14" s="4">
        <v>7.5</v>
      </c>
      <c r="AX14" s="4">
        <v>27</v>
      </c>
      <c r="AY14" s="4">
        <v>0</v>
      </c>
      <c r="AZ14" s="4">
        <v>16.899999999999999</v>
      </c>
      <c r="BA14" s="34">
        <v>1.8199559797302356</v>
      </c>
      <c r="BB14" s="13">
        <v>4.7431595361732697</v>
      </c>
      <c r="BC14" s="13">
        <v>0.74087866940474389</v>
      </c>
      <c r="BD14" s="13">
        <v>2.2878899403437685</v>
      </c>
      <c r="BE14" s="14">
        <v>2</v>
      </c>
      <c r="BF14" s="14">
        <v>1</v>
      </c>
      <c r="BG14" s="14">
        <v>1</v>
      </c>
      <c r="BH14" s="14">
        <v>1</v>
      </c>
      <c r="BI14" s="14" t="s">
        <v>99</v>
      </c>
    </row>
    <row r="15" spans="1:61" ht="16" x14ac:dyDescent="0.25">
      <c r="A15" t="s">
        <v>133</v>
      </c>
      <c r="B15">
        <v>1</v>
      </c>
      <c r="C15" s="4">
        <v>1</v>
      </c>
      <c r="D15" s="4" t="s">
        <v>89</v>
      </c>
      <c r="E15" s="4" t="s">
        <v>118</v>
      </c>
      <c r="F15" s="4">
        <v>1</v>
      </c>
      <c r="G15" s="4">
        <v>1</v>
      </c>
      <c r="H15" s="4"/>
      <c r="I15" s="55">
        <v>1</v>
      </c>
      <c r="J15" s="56">
        <v>1</v>
      </c>
      <c r="K15" s="4">
        <v>1</v>
      </c>
      <c r="L15" s="4"/>
      <c r="M15" s="4">
        <v>3</v>
      </c>
      <c r="N15" s="4">
        <v>1</v>
      </c>
      <c r="O15" s="4">
        <v>1</v>
      </c>
      <c r="P15" s="4"/>
      <c r="Q15" s="29">
        <v>1</v>
      </c>
      <c r="R15" s="4">
        <v>2010</v>
      </c>
      <c r="S15" s="32">
        <v>1</v>
      </c>
      <c r="T15" s="29">
        <v>1</v>
      </c>
      <c r="U15" s="4"/>
      <c r="V15" s="29">
        <v>1</v>
      </c>
      <c r="W15" s="4" t="s">
        <v>126</v>
      </c>
      <c r="X15" s="4">
        <v>3</v>
      </c>
      <c r="Y15" s="29" t="s">
        <v>70</v>
      </c>
      <c r="Z15" s="4" t="s">
        <v>91</v>
      </c>
      <c r="AA15" s="4" t="s">
        <v>127</v>
      </c>
      <c r="AB15" s="4" t="s">
        <v>127</v>
      </c>
      <c r="AC15" s="23" t="s">
        <v>132</v>
      </c>
      <c r="AD15" s="23" t="s">
        <v>123</v>
      </c>
      <c r="AE15" s="24" t="s">
        <v>111</v>
      </c>
      <c r="AF15" s="4" t="s">
        <v>74</v>
      </c>
      <c r="AG15" s="4">
        <v>3</v>
      </c>
      <c r="AH15" s="4" t="s">
        <v>74</v>
      </c>
      <c r="AI15" s="4">
        <v>2.87</v>
      </c>
      <c r="AJ15" s="4" t="s">
        <v>75</v>
      </c>
      <c r="AK15" s="64">
        <v>7.4142857142857137</v>
      </c>
      <c r="AL15" s="61">
        <v>1.7142857142857153</v>
      </c>
      <c r="AM15" s="13">
        <v>13.523788026875408</v>
      </c>
      <c r="AN15" s="13">
        <v>51.381903494602447</v>
      </c>
      <c r="AO15" s="14">
        <v>1</v>
      </c>
      <c r="AP15" s="14">
        <v>3</v>
      </c>
      <c r="AQ15" s="13">
        <f>Table13[[#This Row],[Share of Domestic Debt (2023)]]-Table13[[#This Row],[Share of Domestic Debt (2005)]]</f>
        <v>37.858115467727039</v>
      </c>
      <c r="AR15" s="35" t="s">
        <v>104</v>
      </c>
      <c r="AS15" s="4" t="s">
        <v>116</v>
      </c>
      <c r="AT15" s="4">
        <v>1</v>
      </c>
      <c r="AU15" s="4">
        <v>47</v>
      </c>
      <c r="AV15" s="4">
        <v>31.9</v>
      </c>
      <c r="AW15" s="4">
        <v>11.2</v>
      </c>
      <c r="AX15" s="4">
        <v>4</v>
      </c>
      <c r="AY15" s="4">
        <v>1.6</v>
      </c>
      <c r="AZ15" s="4">
        <v>4.3</v>
      </c>
      <c r="BA15" s="34">
        <v>6.0078790063056351</v>
      </c>
      <c r="BB15" s="13">
        <v>12.683631693024003</v>
      </c>
      <c r="BC15" s="13">
        <v>5.6630916127041697</v>
      </c>
      <c r="BD15" s="13">
        <v>12.022497863460327</v>
      </c>
      <c r="BE15" s="14">
        <v>4</v>
      </c>
      <c r="BF15" s="14">
        <v>3</v>
      </c>
      <c r="BG15" s="14">
        <v>3</v>
      </c>
      <c r="BH15" s="14">
        <v>2</v>
      </c>
      <c r="BI15" s="14" t="s">
        <v>130</v>
      </c>
    </row>
    <row r="16" spans="1:61" ht="16" x14ac:dyDescent="0.25">
      <c r="A16" t="s">
        <v>134</v>
      </c>
      <c r="C16" s="4">
        <v>1</v>
      </c>
      <c r="D16" s="4" t="s">
        <v>89</v>
      </c>
      <c r="E16" s="4" t="s">
        <v>90</v>
      </c>
      <c r="F16" s="4"/>
      <c r="G16" s="4"/>
      <c r="H16" s="4"/>
      <c r="I16" s="55">
        <v>1</v>
      </c>
      <c r="J16" s="56">
        <v>1</v>
      </c>
      <c r="K16" s="4">
        <v>1</v>
      </c>
      <c r="L16" s="4">
        <v>1</v>
      </c>
      <c r="M16" s="4">
        <v>4</v>
      </c>
      <c r="N16" s="4">
        <v>1</v>
      </c>
      <c r="O16" s="4">
        <v>1</v>
      </c>
      <c r="P16" s="4">
        <v>1</v>
      </c>
      <c r="Q16" s="29">
        <v>1</v>
      </c>
      <c r="R16" s="4">
        <v>2012</v>
      </c>
      <c r="S16" s="32">
        <v>0</v>
      </c>
      <c r="T16" s="29">
        <v>1</v>
      </c>
      <c r="U16" s="4"/>
      <c r="V16" s="29">
        <v>1</v>
      </c>
      <c r="W16" s="4" t="s">
        <v>80</v>
      </c>
      <c r="X16" s="4">
        <v>3</v>
      </c>
      <c r="Y16" s="29" t="s">
        <v>127</v>
      </c>
      <c r="Z16" s="4" t="s">
        <v>91</v>
      </c>
      <c r="AA16" s="4" t="s">
        <v>91</v>
      </c>
      <c r="AB16" s="4" t="s">
        <v>91</v>
      </c>
      <c r="AC16" s="23" t="s">
        <v>92</v>
      </c>
      <c r="AD16" s="23" t="s">
        <v>72</v>
      </c>
      <c r="AE16" s="24" t="s">
        <v>93</v>
      </c>
      <c r="AF16" s="4" t="s">
        <v>74</v>
      </c>
      <c r="AG16" s="4">
        <v>3.07</v>
      </c>
      <c r="AH16" s="4" t="s">
        <v>84</v>
      </c>
      <c r="AI16" s="4">
        <v>3.81</v>
      </c>
      <c r="AJ16" s="4" t="s">
        <v>129</v>
      </c>
      <c r="AK16" s="64">
        <v>2.3571428571428572</v>
      </c>
      <c r="AL16" s="61">
        <v>1.8400000000000105</v>
      </c>
      <c r="AM16" s="13">
        <v>23.449360075564002</v>
      </c>
      <c r="AN16" s="13">
        <v>36.835638504575776</v>
      </c>
      <c r="AO16" s="14">
        <v>3</v>
      </c>
      <c r="AP16" s="14">
        <v>2</v>
      </c>
      <c r="AQ16" s="13">
        <f>Table13[[#This Row],[Share of Domestic Debt (2023)]]-Table13[[#This Row],[Share of Domestic Debt (2005)]]</f>
        <v>13.386278429011774</v>
      </c>
      <c r="AR16" s="35" t="s">
        <v>85</v>
      </c>
      <c r="AS16" s="4" t="s">
        <v>124</v>
      </c>
      <c r="AT16" s="4">
        <v>1</v>
      </c>
      <c r="AU16" s="4">
        <v>13.9</v>
      </c>
      <c r="AV16" s="4">
        <v>54</v>
      </c>
      <c r="AW16" s="4">
        <v>15.2</v>
      </c>
      <c r="AX16" s="4">
        <v>8.3000000000000007</v>
      </c>
      <c r="AY16" s="4">
        <v>0.6</v>
      </c>
      <c r="AZ16" s="4">
        <v>8.1</v>
      </c>
      <c r="BA16" s="34">
        <v>3.948092481897711</v>
      </c>
      <c r="BB16" s="13">
        <v>11.334610472541506</v>
      </c>
      <c r="BC16" s="13">
        <v>9.3444757698804306</v>
      </c>
      <c r="BD16" s="13">
        <v>14.435895334074411</v>
      </c>
      <c r="BE16" s="14">
        <v>4</v>
      </c>
      <c r="BF16" s="14">
        <v>3</v>
      </c>
      <c r="BG16" s="14">
        <v>2</v>
      </c>
      <c r="BH16" s="14">
        <v>3</v>
      </c>
      <c r="BI16" s="14" t="s">
        <v>95</v>
      </c>
    </row>
    <row r="17" spans="1:61" ht="16" x14ac:dyDescent="0.25">
      <c r="A17" t="s">
        <v>135</v>
      </c>
      <c r="C17" s="4">
        <v>1</v>
      </c>
      <c r="D17" s="4" t="s">
        <v>69</v>
      </c>
      <c r="E17" s="4"/>
      <c r="F17" s="4"/>
      <c r="G17" s="4"/>
      <c r="H17" s="4">
        <v>1</v>
      </c>
      <c r="I17" s="55"/>
      <c r="J17" s="56"/>
      <c r="K17" s="4">
        <v>1</v>
      </c>
      <c r="L17" s="4"/>
      <c r="M17" s="4">
        <v>1</v>
      </c>
      <c r="N17" s="4">
        <v>0</v>
      </c>
      <c r="O17" s="4">
        <v>0</v>
      </c>
      <c r="P17" s="4"/>
      <c r="Q17" s="29"/>
      <c r="R17" s="4"/>
      <c r="S17" s="32"/>
      <c r="T17" s="29">
        <v>1</v>
      </c>
      <c r="U17" s="4"/>
      <c r="V17" s="29"/>
      <c r="W17" s="4" t="s">
        <v>126</v>
      </c>
      <c r="X17" s="4">
        <v>3</v>
      </c>
      <c r="Y17" s="29" t="s">
        <v>70</v>
      </c>
      <c r="Z17" s="4"/>
      <c r="AA17" s="4" t="s">
        <v>127</v>
      </c>
      <c r="AB17" s="4" t="s">
        <v>127</v>
      </c>
      <c r="AC17" s="23" t="s">
        <v>136</v>
      </c>
      <c r="AD17" s="23" t="s">
        <v>123</v>
      </c>
      <c r="AE17" s="24" t="s">
        <v>111</v>
      </c>
      <c r="AF17" s="4" t="s">
        <v>74</v>
      </c>
      <c r="AG17" s="4">
        <v>3.09</v>
      </c>
      <c r="AH17" s="4" t="s">
        <v>74</v>
      </c>
      <c r="AI17" s="4">
        <v>3.13</v>
      </c>
      <c r="AJ17" s="4" t="s">
        <v>75</v>
      </c>
      <c r="AK17" s="64">
        <v>1</v>
      </c>
      <c r="AL17" s="61">
        <v>7.7149999999999999</v>
      </c>
      <c r="AM17" s="13" t="s">
        <v>76</v>
      </c>
      <c r="AN17" s="13">
        <v>0</v>
      </c>
      <c r="AO17" s="14" t="s">
        <v>76</v>
      </c>
      <c r="AP17" s="14">
        <v>1</v>
      </c>
      <c r="AQ17" s="13" t="s">
        <v>76</v>
      </c>
      <c r="AR17" s="35" t="s">
        <v>76</v>
      </c>
      <c r="AS17" s="4" t="s">
        <v>116</v>
      </c>
      <c r="AT17" s="4">
        <v>1</v>
      </c>
      <c r="AU17" s="4">
        <v>51.5</v>
      </c>
      <c r="AV17" s="4">
        <v>0.1</v>
      </c>
      <c r="AW17" s="4">
        <v>16.3</v>
      </c>
      <c r="AX17" s="4">
        <v>9.4</v>
      </c>
      <c r="AY17" s="4">
        <v>0.5</v>
      </c>
      <c r="AZ17" s="4">
        <v>22.2</v>
      </c>
      <c r="BA17" s="34">
        <v>0.16113329118531827</v>
      </c>
      <c r="BB17" s="13">
        <v>1.2257889746715429</v>
      </c>
      <c r="BC17" s="13">
        <v>1.0375672872426693</v>
      </c>
      <c r="BD17" s="13">
        <v>8.1766757029339399</v>
      </c>
      <c r="BE17" s="14">
        <v>1</v>
      </c>
      <c r="BF17" s="14">
        <v>3</v>
      </c>
      <c r="BG17" s="14">
        <v>1</v>
      </c>
      <c r="BH17" s="14">
        <v>1</v>
      </c>
      <c r="BI17" s="14" t="s">
        <v>105</v>
      </c>
    </row>
    <row r="18" spans="1:61" ht="16" x14ac:dyDescent="0.25">
      <c r="A18" t="s">
        <v>137</v>
      </c>
      <c r="C18" s="4"/>
      <c r="D18" s="4" t="s">
        <v>138</v>
      </c>
      <c r="E18" s="4" t="s">
        <v>139</v>
      </c>
      <c r="F18" s="4"/>
      <c r="G18" s="4"/>
      <c r="H18" s="4">
        <v>1</v>
      </c>
      <c r="I18" s="55">
        <v>1</v>
      </c>
      <c r="J18" s="56">
        <v>1</v>
      </c>
      <c r="K18" s="4">
        <v>0</v>
      </c>
      <c r="L18" s="4"/>
      <c r="M18" s="4"/>
      <c r="N18" s="4">
        <v>0</v>
      </c>
      <c r="O18" s="4">
        <v>0</v>
      </c>
      <c r="P18" s="4"/>
      <c r="Q18" s="29"/>
      <c r="R18" s="4"/>
      <c r="S18" s="32"/>
      <c r="T18" s="29">
        <v>1</v>
      </c>
      <c r="U18" s="4"/>
      <c r="V18" s="29"/>
      <c r="W18" s="4" t="s">
        <v>126</v>
      </c>
      <c r="X18" s="4">
        <v>4</v>
      </c>
      <c r="Y18" s="29" t="s">
        <v>91</v>
      </c>
      <c r="Z18" s="4"/>
      <c r="AA18" s="4" t="s">
        <v>70</v>
      </c>
      <c r="AB18" s="4" t="s">
        <v>70</v>
      </c>
      <c r="AC18" s="23" t="s">
        <v>140</v>
      </c>
      <c r="AD18" s="23" t="s">
        <v>72</v>
      </c>
      <c r="AE18" s="24" t="s">
        <v>111</v>
      </c>
      <c r="AF18" s="4" t="s">
        <v>98</v>
      </c>
      <c r="AG18" s="4">
        <v>3.77</v>
      </c>
      <c r="AH18" s="4" t="s">
        <v>84</v>
      </c>
      <c r="AI18" s="4">
        <v>3.65</v>
      </c>
      <c r="AJ18" s="4" t="s">
        <v>103</v>
      </c>
      <c r="AK18" s="64">
        <v>2</v>
      </c>
      <c r="AL18" s="61">
        <v>0</v>
      </c>
      <c r="AM18" s="13">
        <v>22.019935920887477</v>
      </c>
      <c r="AN18" s="13">
        <v>44.395374063710335</v>
      </c>
      <c r="AO18" s="14">
        <v>2</v>
      </c>
      <c r="AP18" s="14">
        <v>2</v>
      </c>
      <c r="AQ18" s="13">
        <f>Table13[[#This Row],[Share of Domestic Debt (2023)]]-Table13[[#This Row],[Share of Domestic Debt (2005)]]</f>
        <v>22.375438142822858</v>
      </c>
      <c r="AR18" s="35" t="s">
        <v>94</v>
      </c>
      <c r="AS18" s="4" t="s">
        <v>86</v>
      </c>
      <c r="AT18" s="4">
        <v>1</v>
      </c>
      <c r="AU18" s="4">
        <v>11.5</v>
      </c>
      <c r="AV18" s="4">
        <v>17.5</v>
      </c>
      <c r="AW18" s="4">
        <v>15.8</v>
      </c>
      <c r="AX18" s="4">
        <v>19.3</v>
      </c>
      <c r="AY18" s="4">
        <v>0</v>
      </c>
      <c r="AZ18" s="4">
        <v>35.9</v>
      </c>
      <c r="BA18" s="34">
        <v>12.654500950822303</v>
      </c>
      <c r="BB18" s="13">
        <v>13.222484207742719</v>
      </c>
      <c r="BC18" s="13">
        <v>9.0028820996818339</v>
      </c>
      <c r="BD18" s="13">
        <v>4.9369385881912908</v>
      </c>
      <c r="BE18" s="14">
        <v>4</v>
      </c>
      <c r="BF18" s="14">
        <v>2</v>
      </c>
      <c r="BG18" s="14">
        <v>4</v>
      </c>
      <c r="BH18" s="14">
        <v>3</v>
      </c>
      <c r="BI18" s="14" t="s">
        <v>130</v>
      </c>
    </row>
    <row r="19" spans="1:61" ht="16" customHeight="1" x14ac:dyDescent="0.25">
      <c r="A19" t="s">
        <v>141</v>
      </c>
      <c r="C19" s="4">
        <v>1</v>
      </c>
      <c r="D19" s="4" t="s">
        <v>89</v>
      </c>
      <c r="E19" s="4"/>
      <c r="F19" s="4">
        <v>1</v>
      </c>
      <c r="G19" s="4">
        <v>1</v>
      </c>
      <c r="H19" s="4"/>
      <c r="I19" s="55"/>
      <c r="J19" s="56"/>
      <c r="K19" s="4">
        <v>0</v>
      </c>
      <c r="L19" s="4"/>
      <c r="M19" s="4"/>
      <c r="N19" s="4">
        <v>0</v>
      </c>
      <c r="O19" s="4">
        <v>0</v>
      </c>
      <c r="P19" s="4"/>
      <c r="Q19" s="29">
        <v>2</v>
      </c>
      <c r="R19" s="4" t="s">
        <v>76</v>
      </c>
      <c r="S19" s="32"/>
      <c r="T19" s="29">
        <v>0</v>
      </c>
      <c r="U19" s="4">
        <v>0</v>
      </c>
      <c r="V19" s="29"/>
      <c r="W19" s="4">
        <v>1</v>
      </c>
      <c r="X19" s="4">
        <v>1</v>
      </c>
      <c r="Y19" s="29" t="s">
        <v>142</v>
      </c>
      <c r="Z19" s="4"/>
      <c r="AA19" s="4" t="s">
        <v>142</v>
      </c>
      <c r="AB19" s="4" t="s">
        <v>142</v>
      </c>
      <c r="AC19" s="23" t="s">
        <v>142</v>
      </c>
      <c r="AD19" s="23" t="s">
        <v>76</v>
      </c>
      <c r="AE19" s="24" t="s">
        <v>76</v>
      </c>
      <c r="AF19" s="4" t="s">
        <v>142</v>
      </c>
      <c r="AG19" s="4">
        <v>2.08</v>
      </c>
      <c r="AH19" s="4" t="s">
        <v>76</v>
      </c>
      <c r="AI19" s="4">
        <v>1.69</v>
      </c>
      <c r="AJ19" s="4" t="s">
        <v>76</v>
      </c>
      <c r="AK19" s="62" t="s">
        <v>76</v>
      </c>
      <c r="AL19" s="61" t="s">
        <v>76</v>
      </c>
      <c r="AM19" s="13">
        <v>58.567850439632082</v>
      </c>
      <c r="AN19" s="13" t="s">
        <v>76</v>
      </c>
      <c r="AO19" s="14">
        <v>4</v>
      </c>
      <c r="AP19" s="14" t="s">
        <v>76</v>
      </c>
      <c r="AQ19" s="13" t="s">
        <v>76</v>
      </c>
      <c r="AR19" s="35" t="s">
        <v>76</v>
      </c>
      <c r="AS19" s="4" t="s">
        <v>86</v>
      </c>
      <c r="AT19" s="4">
        <v>0</v>
      </c>
      <c r="AU19" s="4">
        <v>4</v>
      </c>
      <c r="AV19" s="4">
        <v>0</v>
      </c>
      <c r="AW19" s="4">
        <v>17.399999999999999</v>
      </c>
      <c r="AX19" s="4">
        <v>60.1</v>
      </c>
      <c r="AY19" s="4">
        <v>0</v>
      </c>
      <c r="AZ19" s="4">
        <v>18.399999999999999</v>
      </c>
      <c r="BA19" s="34">
        <v>50.736392525990148</v>
      </c>
      <c r="BB19" s="13">
        <v>8.8646737464958072</v>
      </c>
      <c r="BC19" s="13" t="s">
        <v>76</v>
      </c>
      <c r="BD19" s="13" t="s">
        <v>76</v>
      </c>
      <c r="BE19" s="14">
        <v>3</v>
      </c>
      <c r="BF19" s="14" t="s">
        <v>76</v>
      </c>
      <c r="BG19" s="14">
        <v>4</v>
      </c>
      <c r="BH19" s="14" t="s">
        <v>76</v>
      </c>
      <c r="BI19" s="14" t="s">
        <v>76</v>
      </c>
    </row>
    <row r="20" spans="1:61" ht="16" customHeight="1" x14ac:dyDescent="0.25">
      <c r="A20" t="s">
        <v>143</v>
      </c>
      <c r="C20" s="4">
        <v>1</v>
      </c>
      <c r="D20" s="4" t="s">
        <v>89</v>
      </c>
      <c r="E20" s="4"/>
      <c r="F20" s="4"/>
      <c r="G20" s="4">
        <v>1</v>
      </c>
      <c r="H20" s="4"/>
      <c r="I20" s="55"/>
      <c r="J20" s="56"/>
      <c r="K20" s="4">
        <v>1</v>
      </c>
      <c r="L20" s="4">
        <v>1</v>
      </c>
      <c r="M20" s="4">
        <v>2</v>
      </c>
      <c r="N20" s="4">
        <v>1</v>
      </c>
      <c r="O20" s="4">
        <v>1</v>
      </c>
      <c r="P20" s="4"/>
      <c r="Q20" s="29">
        <v>1</v>
      </c>
      <c r="R20" s="4">
        <v>2004</v>
      </c>
      <c r="S20" s="33">
        <v>1</v>
      </c>
      <c r="T20" s="29">
        <v>1</v>
      </c>
      <c r="U20" s="4"/>
      <c r="V20" s="29">
        <v>1</v>
      </c>
      <c r="W20" s="4">
        <v>1</v>
      </c>
      <c r="X20" s="4">
        <v>1</v>
      </c>
      <c r="Y20" s="29" t="s">
        <v>81</v>
      </c>
      <c r="Z20" s="4"/>
      <c r="AA20" s="4" t="s">
        <v>127</v>
      </c>
      <c r="AB20" s="4" t="s">
        <v>127</v>
      </c>
      <c r="AC20" s="23" t="s">
        <v>132</v>
      </c>
      <c r="AD20" s="23" t="s">
        <v>123</v>
      </c>
      <c r="AE20" s="24" t="s">
        <v>111</v>
      </c>
      <c r="AF20" s="4" t="s">
        <v>84</v>
      </c>
      <c r="AG20" s="4">
        <v>3.44</v>
      </c>
      <c r="AH20" s="4" t="s">
        <v>74</v>
      </c>
      <c r="AI20" s="4">
        <v>3.15</v>
      </c>
      <c r="AJ20" s="4" t="s">
        <v>103</v>
      </c>
      <c r="AK20" s="64">
        <v>2.6666666666666665</v>
      </c>
      <c r="AL20" s="61">
        <v>0</v>
      </c>
      <c r="AM20" s="13">
        <v>39.414107506735583</v>
      </c>
      <c r="AN20" s="13">
        <v>47.113550443694997</v>
      </c>
      <c r="AO20" s="14">
        <v>4</v>
      </c>
      <c r="AP20" s="14">
        <v>3</v>
      </c>
      <c r="AQ20" s="13">
        <f>Table13[[#This Row],[Share of Domestic Debt (2023)]]-Table13[[#This Row],[Share of Domestic Debt (2005)]]</f>
        <v>7.6994429369594144</v>
      </c>
      <c r="AR20" s="35" t="s">
        <v>85</v>
      </c>
      <c r="AS20" s="4" t="s">
        <v>86</v>
      </c>
      <c r="AT20" s="4">
        <v>1</v>
      </c>
      <c r="AU20" s="4">
        <v>29.5</v>
      </c>
      <c r="AV20" s="4">
        <v>16.399999999999999</v>
      </c>
      <c r="AW20" s="4">
        <v>12.4</v>
      </c>
      <c r="AX20" s="4">
        <v>31.4</v>
      </c>
      <c r="AY20" s="4">
        <v>0</v>
      </c>
      <c r="AZ20" s="4">
        <v>10.199999999999999</v>
      </c>
      <c r="BA20" s="34">
        <v>6.299981245928354</v>
      </c>
      <c r="BB20" s="13">
        <v>5.0190610695386644</v>
      </c>
      <c r="BC20" s="13">
        <v>7.4629417042542014</v>
      </c>
      <c r="BD20" s="13">
        <v>7.6004252100983489</v>
      </c>
      <c r="BE20" s="14">
        <v>2</v>
      </c>
      <c r="BF20" s="14">
        <v>2</v>
      </c>
      <c r="BG20" s="14">
        <v>3</v>
      </c>
      <c r="BH20" s="14">
        <v>3</v>
      </c>
      <c r="BI20" s="14" t="s">
        <v>100</v>
      </c>
    </row>
    <row r="21" spans="1:61" ht="16" customHeight="1" x14ac:dyDescent="0.25">
      <c r="A21" t="s">
        <v>145</v>
      </c>
      <c r="C21" s="4">
        <v>1</v>
      </c>
      <c r="D21" s="4" t="s">
        <v>89</v>
      </c>
      <c r="E21" s="4"/>
      <c r="F21" s="4"/>
      <c r="G21" s="4"/>
      <c r="H21" s="4"/>
      <c r="I21" s="55"/>
      <c r="J21" s="56"/>
      <c r="K21" s="4">
        <v>1</v>
      </c>
      <c r="L21" s="4">
        <v>1</v>
      </c>
      <c r="M21" s="4">
        <v>4</v>
      </c>
      <c r="N21" s="4">
        <v>1</v>
      </c>
      <c r="O21" s="4">
        <v>1</v>
      </c>
      <c r="P21" s="4"/>
      <c r="Q21" s="29">
        <v>1</v>
      </c>
      <c r="R21" s="4">
        <v>2007</v>
      </c>
      <c r="S21" s="32">
        <v>1</v>
      </c>
      <c r="T21" s="29">
        <v>1</v>
      </c>
      <c r="U21" s="4"/>
      <c r="V21" s="29"/>
      <c r="W21" s="4">
        <v>1</v>
      </c>
      <c r="X21" s="4">
        <v>1</v>
      </c>
      <c r="Y21" s="29" t="s">
        <v>127</v>
      </c>
      <c r="Z21" s="4" t="s">
        <v>70</v>
      </c>
      <c r="AA21" s="4" t="s">
        <v>70</v>
      </c>
      <c r="AB21" s="4" t="s">
        <v>70</v>
      </c>
      <c r="AC21" s="23" t="s">
        <v>92</v>
      </c>
      <c r="AD21" s="23" t="s">
        <v>123</v>
      </c>
      <c r="AE21" s="24" t="s">
        <v>73</v>
      </c>
      <c r="AF21" s="4" t="s">
        <v>74</v>
      </c>
      <c r="AG21" s="4">
        <v>3.35</v>
      </c>
      <c r="AH21" s="4" t="s">
        <v>84</v>
      </c>
      <c r="AI21" s="4">
        <v>3.13</v>
      </c>
      <c r="AJ21" s="4" t="s">
        <v>129</v>
      </c>
      <c r="AK21" s="64">
        <v>2.157142857142857</v>
      </c>
      <c r="AL21" s="61">
        <v>0</v>
      </c>
      <c r="AM21" s="13">
        <v>29.104850643871814</v>
      </c>
      <c r="AN21" s="13">
        <v>43.140445161272254</v>
      </c>
      <c r="AO21" s="14">
        <v>3</v>
      </c>
      <c r="AP21" s="14">
        <v>2</v>
      </c>
      <c r="AQ21" s="13">
        <f>Table13[[#This Row],[Share of Domestic Debt (2023)]]-Table13[[#This Row],[Share of Domestic Debt (2005)]]</f>
        <v>14.03559451740044</v>
      </c>
      <c r="AR21" s="35" t="s">
        <v>85</v>
      </c>
      <c r="AS21" s="4" t="s">
        <v>86</v>
      </c>
      <c r="AT21" s="4">
        <v>0</v>
      </c>
      <c r="AU21" s="4">
        <v>1.5</v>
      </c>
      <c r="AV21" s="4">
        <v>4.9000000000000004</v>
      </c>
      <c r="AW21" s="4">
        <v>28.5</v>
      </c>
      <c r="AX21" s="4">
        <v>14.2</v>
      </c>
      <c r="AY21" s="4">
        <v>0</v>
      </c>
      <c r="AZ21" s="4">
        <v>50.9</v>
      </c>
      <c r="BA21" s="34">
        <v>19.347516895028104</v>
      </c>
      <c r="BB21" s="13">
        <v>40.05226312875488</v>
      </c>
      <c r="BC21" s="13">
        <v>18.145686797944382</v>
      </c>
      <c r="BD21" s="13">
        <v>14.638146146407511</v>
      </c>
      <c r="BE21" s="14">
        <v>4</v>
      </c>
      <c r="BF21" s="14">
        <v>4</v>
      </c>
      <c r="BG21" s="14">
        <v>4</v>
      </c>
      <c r="BH21" s="14">
        <v>4</v>
      </c>
      <c r="BI21" s="14" t="s">
        <v>87</v>
      </c>
    </row>
    <row r="22" spans="1:61" ht="16" customHeight="1" x14ac:dyDescent="0.25">
      <c r="A22" t="s">
        <v>146</v>
      </c>
      <c r="B22">
        <v>1</v>
      </c>
      <c r="C22" s="4">
        <v>1</v>
      </c>
      <c r="D22" s="4" t="s">
        <v>89</v>
      </c>
      <c r="E22" s="4"/>
      <c r="F22" s="4">
        <v>1</v>
      </c>
      <c r="G22" s="4"/>
      <c r="H22" s="4"/>
      <c r="I22" s="55"/>
      <c r="J22" s="56"/>
      <c r="K22" s="4">
        <v>1</v>
      </c>
      <c r="L22" s="4">
        <v>1</v>
      </c>
      <c r="M22" s="4">
        <v>3</v>
      </c>
      <c r="N22" s="4">
        <v>1</v>
      </c>
      <c r="O22" s="4">
        <v>1</v>
      </c>
      <c r="P22" s="4"/>
      <c r="Q22" s="29">
        <v>1</v>
      </c>
      <c r="R22" s="4">
        <v>2004</v>
      </c>
      <c r="S22" s="33">
        <v>1</v>
      </c>
      <c r="T22" s="29"/>
      <c r="U22" s="4">
        <v>1</v>
      </c>
      <c r="V22" s="29">
        <v>1</v>
      </c>
      <c r="W22" s="4" t="s">
        <v>126</v>
      </c>
      <c r="X22" s="4">
        <v>3</v>
      </c>
      <c r="Y22" s="29" t="s">
        <v>91</v>
      </c>
      <c r="Z22" s="4"/>
      <c r="AA22" s="4" t="s">
        <v>70</v>
      </c>
      <c r="AB22" s="4" t="s">
        <v>70</v>
      </c>
      <c r="AC22" s="23" t="s">
        <v>147</v>
      </c>
      <c r="AD22" s="23" t="s">
        <v>123</v>
      </c>
      <c r="AE22" s="24" t="s">
        <v>111</v>
      </c>
      <c r="AF22" s="4" t="s">
        <v>98</v>
      </c>
      <c r="AG22" s="4">
        <v>3.8</v>
      </c>
      <c r="AH22" s="4" t="s">
        <v>84</v>
      </c>
      <c r="AI22" s="4">
        <v>3.41</v>
      </c>
      <c r="AJ22" s="4" t="s">
        <v>103</v>
      </c>
      <c r="AK22" s="64">
        <v>2</v>
      </c>
      <c r="AL22" s="61">
        <v>1.5200000000000031</v>
      </c>
      <c r="AM22" s="13">
        <v>27.196518373564089</v>
      </c>
      <c r="AN22" s="13">
        <v>51.453544519797049</v>
      </c>
      <c r="AO22" s="14">
        <v>3</v>
      </c>
      <c r="AP22" s="14">
        <v>3</v>
      </c>
      <c r="AQ22" s="13">
        <f>Table13[[#This Row],[Share of Domestic Debt (2023)]]-Table13[[#This Row],[Share of Domestic Debt (2005)]]</f>
        <v>24.25702614623296</v>
      </c>
      <c r="AR22" s="35" t="s">
        <v>94</v>
      </c>
      <c r="AS22" s="4" t="s">
        <v>124</v>
      </c>
      <c r="AT22" s="4">
        <v>1</v>
      </c>
      <c r="AU22" s="4">
        <v>11.1</v>
      </c>
      <c r="AV22" s="4">
        <v>50.5</v>
      </c>
      <c r="AW22" s="4">
        <v>9.4</v>
      </c>
      <c r="AX22" s="4">
        <v>20.7</v>
      </c>
      <c r="AY22" s="4">
        <v>0.5</v>
      </c>
      <c r="AZ22" s="4">
        <v>7.7</v>
      </c>
      <c r="BA22" s="34">
        <v>9.994659201792782</v>
      </c>
      <c r="BB22" s="13">
        <v>13.448004148598097</v>
      </c>
      <c r="BC22" s="13">
        <v>15.926850089118272</v>
      </c>
      <c r="BD22" s="13">
        <v>30.869003137197414</v>
      </c>
      <c r="BE22" s="14">
        <v>4</v>
      </c>
      <c r="BF22" s="14">
        <v>4</v>
      </c>
      <c r="BG22" s="14">
        <v>4</v>
      </c>
      <c r="BH22" s="14">
        <v>4</v>
      </c>
      <c r="BI22" s="14" t="s">
        <v>87</v>
      </c>
    </row>
    <row r="23" spans="1:61" ht="16" customHeight="1" x14ac:dyDescent="0.25">
      <c r="A23" t="s">
        <v>148</v>
      </c>
      <c r="B23">
        <v>1</v>
      </c>
      <c r="C23" s="4"/>
      <c r="D23" s="4" t="s">
        <v>138</v>
      </c>
      <c r="E23" s="4" t="s">
        <v>139</v>
      </c>
      <c r="F23" s="4"/>
      <c r="G23" s="4"/>
      <c r="H23" s="4">
        <v>1</v>
      </c>
      <c r="I23" s="55">
        <v>1</v>
      </c>
      <c r="J23" s="56">
        <v>1</v>
      </c>
      <c r="K23" s="4">
        <v>1</v>
      </c>
      <c r="L23" s="4"/>
      <c r="M23" s="4">
        <v>3</v>
      </c>
      <c r="N23" s="4">
        <v>1</v>
      </c>
      <c r="O23" s="4">
        <v>1</v>
      </c>
      <c r="P23" s="4"/>
      <c r="Q23" s="29"/>
      <c r="R23" s="4"/>
      <c r="S23" s="32">
        <v>1</v>
      </c>
      <c r="T23" s="29">
        <v>1</v>
      </c>
      <c r="U23" s="4"/>
      <c r="V23" s="29"/>
      <c r="W23" s="4" t="s">
        <v>126</v>
      </c>
      <c r="X23" s="4">
        <v>4</v>
      </c>
      <c r="Y23" s="29"/>
      <c r="Z23" s="4"/>
      <c r="AA23" s="4" t="s">
        <v>127</v>
      </c>
      <c r="AB23" s="4" t="s">
        <v>127</v>
      </c>
      <c r="AC23" s="23" t="s">
        <v>108</v>
      </c>
      <c r="AD23" s="23" t="s">
        <v>123</v>
      </c>
      <c r="AE23" s="24" t="s">
        <v>111</v>
      </c>
      <c r="AF23" s="4" t="s">
        <v>84</v>
      </c>
      <c r="AG23" s="4">
        <v>3.65</v>
      </c>
      <c r="AH23" s="4" t="s">
        <v>84</v>
      </c>
      <c r="AI23" s="4">
        <v>3.73</v>
      </c>
      <c r="AJ23" s="4" t="s">
        <v>75</v>
      </c>
      <c r="AK23" s="64">
        <v>12.64</v>
      </c>
      <c r="AL23" s="61">
        <v>0.60000000000000142</v>
      </c>
      <c r="AM23" s="13">
        <v>43.147637748526016</v>
      </c>
      <c r="AN23" s="13">
        <v>39.200247940311606</v>
      </c>
      <c r="AO23" s="14">
        <v>4</v>
      </c>
      <c r="AP23" s="14">
        <v>2</v>
      </c>
      <c r="AQ23" s="13">
        <f>Table13[[#This Row],[Share of Domestic Debt (2023)]]-Table13[[#This Row],[Share of Domestic Debt (2005)]]</f>
        <v>-3.9473898082144103</v>
      </c>
      <c r="AR23" s="35" t="s">
        <v>112</v>
      </c>
      <c r="AS23" s="4" t="s">
        <v>86</v>
      </c>
      <c r="AT23" s="4">
        <v>0</v>
      </c>
      <c r="AU23" s="4">
        <v>1.7</v>
      </c>
      <c r="AV23" s="4">
        <v>27.6</v>
      </c>
      <c r="AW23" s="4">
        <v>16.2</v>
      </c>
      <c r="AX23" s="4">
        <v>26.3</v>
      </c>
      <c r="AY23" s="4">
        <v>0</v>
      </c>
      <c r="AZ23" s="4">
        <v>28.2</v>
      </c>
      <c r="BA23" s="34" t="s">
        <v>76</v>
      </c>
      <c r="BB23" s="13">
        <v>5.7906705751303251</v>
      </c>
      <c r="BC23" s="13">
        <v>5.5071349262204121</v>
      </c>
      <c r="BD23" s="13">
        <v>8.4868001094942809</v>
      </c>
      <c r="BE23" s="14">
        <v>2</v>
      </c>
      <c r="BF23" s="14">
        <v>3</v>
      </c>
      <c r="BG23" s="14" t="s">
        <v>76</v>
      </c>
      <c r="BH23" s="14">
        <v>2</v>
      </c>
      <c r="BI23" s="14" t="s">
        <v>95</v>
      </c>
    </row>
    <row r="24" spans="1:61" ht="16" customHeight="1" x14ac:dyDescent="0.25">
      <c r="A24" t="s">
        <v>149</v>
      </c>
      <c r="C24" s="4">
        <v>1</v>
      </c>
      <c r="D24" s="4" t="s">
        <v>89</v>
      </c>
      <c r="E24" s="4"/>
      <c r="F24" s="4">
        <v>1</v>
      </c>
      <c r="G24" s="4"/>
      <c r="H24" s="4"/>
      <c r="I24" s="55"/>
      <c r="J24" s="56"/>
      <c r="K24" s="4">
        <v>1</v>
      </c>
      <c r="L24" s="4"/>
      <c r="M24" s="4">
        <v>3</v>
      </c>
      <c r="N24" s="4">
        <v>1</v>
      </c>
      <c r="O24" s="4">
        <v>1</v>
      </c>
      <c r="P24" s="4"/>
      <c r="Q24" s="29">
        <v>1</v>
      </c>
      <c r="R24" s="4">
        <v>2012</v>
      </c>
      <c r="S24" s="32"/>
      <c r="T24" s="29">
        <v>1</v>
      </c>
      <c r="U24" s="4"/>
      <c r="V24" s="29"/>
      <c r="W24" s="4">
        <v>1</v>
      </c>
      <c r="X24" s="4">
        <v>2</v>
      </c>
      <c r="Y24" s="29" t="s">
        <v>127</v>
      </c>
      <c r="Z24" s="4" t="s">
        <v>91</v>
      </c>
      <c r="AA24" s="4" t="s">
        <v>91</v>
      </c>
      <c r="AB24" s="4" t="s">
        <v>91</v>
      </c>
      <c r="AC24" s="23" t="s">
        <v>140</v>
      </c>
      <c r="AD24" s="23" t="s">
        <v>72</v>
      </c>
      <c r="AE24" s="24" t="s">
        <v>93</v>
      </c>
      <c r="AF24" s="4" t="s">
        <v>74</v>
      </c>
      <c r="AG24" s="4">
        <v>2.97</v>
      </c>
      <c r="AH24" s="4" t="s">
        <v>74</v>
      </c>
      <c r="AI24" s="4">
        <v>3.39</v>
      </c>
      <c r="AJ24" s="4" t="s">
        <v>75</v>
      </c>
      <c r="AK24" s="64">
        <v>1.7142857142857144</v>
      </c>
      <c r="AL24" s="61">
        <v>1.1271428571428572</v>
      </c>
      <c r="AM24" s="13">
        <v>21.29340334173186</v>
      </c>
      <c r="AN24" s="13">
        <v>58.061770970867393</v>
      </c>
      <c r="AO24" s="14">
        <v>2</v>
      </c>
      <c r="AP24" s="14">
        <v>4</v>
      </c>
      <c r="AQ24" s="13">
        <f>Table13[[#This Row],[Share of Domestic Debt (2023)]]-Table13[[#This Row],[Share of Domestic Debt (2005)]]</f>
        <v>36.768367629135533</v>
      </c>
      <c r="AR24" s="35" t="s">
        <v>104</v>
      </c>
      <c r="AS24" s="4" t="s">
        <v>86</v>
      </c>
      <c r="AT24" s="4">
        <v>1</v>
      </c>
      <c r="AU24" s="4">
        <v>37.200000000000003</v>
      </c>
      <c r="AV24" s="4">
        <v>1.1000000000000001</v>
      </c>
      <c r="AW24" s="4">
        <v>22.9</v>
      </c>
      <c r="AX24" s="4">
        <v>15.3</v>
      </c>
      <c r="AY24" s="4">
        <v>0</v>
      </c>
      <c r="AZ24" s="4">
        <v>23.5</v>
      </c>
      <c r="BA24" s="34">
        <v>8.9196398292214223</v>
      </c>
      <c r="BB24" s="13">
        <v>20.175669794725003</v>
      </c>
      <c r="BC24" s="13">
        <v>3.0649839536813031</v>
      </c>
      <c r="BD24" s="13">
        <v>7.9014009393503626</v>
      </c>
      <c r="BE24" s="14">
        <v>4</v>
      </c>
      <c r="BF24" s="14">
        <v>3</v>
      </c>
      <c r="BG24" s="14">
        <v>4</v>
      </c>
      <c r="BH24" s="14">
        <v>1</v>
      </c>
      <c r="BI24" s="14" t="s">
        <v>130</v>
      </c>
    </row>
    <row r="25" spans="1:61" ht="16" customHeight="1" x14ac:dyDescent="0.25">
      <c r="A25" t="s">
        <v>150</v>
      </c>
      <c r="C25" s="4">
        <v>1</v>
      </c>
      <c r="D25" s="4" t="s">
        <v>89</v>
      </c>
      <c r="E25" s="4" t="s">
        <v>90</v>
      </c>
      <c r="F25" s="4">
        <v>1</v>
      </c>
      <c r="G25" s="4">
        <v>1</v>
      </c>
      <c r="H25" s="4"/>
      <c r="I25" s="55">
        <v>1</v>
      </c>
      <c r="J25" s="56">
        <v>1</v>
      </c>
      <c r="K25" s="4">
        <v>1</v>
      </c>
      <c r="L25" s="4">
        <v>1</v>
      </c>
      <c r="M25" s="4">
        <v>3</v>
      </c>
      <c r="N25" s="4">
        <v>1</v>
      </c>
      <c r="O25" s="4">
        <v>1</v>
      </c>
      <c r="P25" s="4"/>
      <c r="Q25" s="29">
        <v>1</v>
      </c>
      <c r="R25" s="4">
        <v>2010</v>
      </c>
      <c r="S25" s="32"/>
      <c r="T25" s="29">
        <v>1</v>
      </c>
      <c r="U25" s="4"/>
      <c r="V25" s="29"/>
      <c r="W25" s="4">
        <v>1</v>
      </c>
      <c r="X25" s="4">
        <v>1</v>
      </c>
      <c r="Y25" s="29" t="s">
        <v>127</v>
      </c>
      <c r="Z25" s="4" t="s">
        <v>91</v>
      </c>
      <c r="AA25" s="4" t="s">
        <v>70</v>
      </c>
      <c r="AB25" s="4" t="s">
        <v>70</v>
      </c>
      <c r="AC25" s="23" t="s">
        <v>92</v>
      </c>
      <c r="AD25" s="23" t="s">
        <v>72</v>
      </c>
      <c r="AE25" s="24" t="s">
        <v>111</v>
      </c>
      <c r="AF25" s="4" t="s">
        <v>74</v>
      </c>
      <c r="AG25" s="4">
        <v>2.62</v>
      </c>
      <c r="AH25" s="4" t="s">
        <v>74</v>
      </c>
      <c r="AI25" s="4">
        <v>2.57</v>
      </c>
      <c r="AJ25" s="4" t="s">
        <v>75</v>
      </c>
      <c r="AK25" s="64">
        <v>6.1749999999999998</v>
      </c>
      <c r="AL25" s="61">
        <v>0</v>
      </c>
      <c r="AM25" s="13">
        <v>28.178617228505516</v>
      </c>
      <c r="AN25" s="13">
        <v>36.534982138484004</v>
      </c>
      <c r="AO25" s="14">
        <v>3</v>
      </c>
      <c r="AP25" s="14">
        <v>2</v>
      </c>
      <c r="AQ25" s="13">
        <f>Table13[[#This Row],[Share of Domestic Debt (2023)]]-Table13[[#This Row],[Share of Domestic Debt (2005)]]</f>
        <v>8.3563649099784882</v>
      </c>
      <c r="AR25" s="35" t="s">
        <v>85</v>
      </c>
      <c r="AS25" s="4" t="s">
        <v>86</v>
      </c>
      <c r="AT25" s="4">
        <v>0</v>
      </c>
      <c r="AU25" s="4">
        <v>0</v>
      </c>
      <c r="AV25" s="4">
        <v>22.8</v>
      </c>
      <c r="AW25" s="4">
        <v>23.2</v>
      </c>
      <c r="AX25" s="4">
        <v>19.600000000000001</v>
      </c>
      <c r="AY25" s="4">
        <v>0</v>
      </c>
      <c r="AZ25" s="4">
        <v>34.299999999999997</v>
      </c>
      <c r="BA25" s="34">
        <v>12.806677183144622</v>
      </c>
      <c r="BB25" s="13">
        <v>12.535043190750056</v>
      </c>
      <c r="BC25" s="13">
        <v>20.149005169430943</v>
      </c>
      <c r="BD25" s="13">
        <v>16.617939269694386</v>
      </c>
      <c r="BE25" s="14">
        <v>4</v>
      </c>
      <c r="BF25" s="14">
        <v>4</v>
      </c>
      <c r="BG25" s="14">
        <v>4</v>
      </c>
      <c r="BH25" s="14">
        <v>4</v>
      </c>
      <c r="BI25" s="14" t="s">
        <v>87</v>
      </c>
    </row>
    <row r="26" spans="1:61" ht="16" customHeight="1" x14ac:dyDescent="0.25">
      <c r="A26" t="s">
        <v>151</v>
      </c>
      <c r="C26" s="4">
        <v>1</v>
      </c>
      <c r="D26" s="4" t="s">
        <v>138</v>
      </c>
      <c r="E26" s="4"/>
      <c r="F26" s="4"/>
      <c r="G26" s="4">
        <v>1</v>
      </c>
      <c r="H26" s="4"/>
      <c r="I26" s="55"/>
      <c r="J26" s="56"/>
      <c r="K26" s="4">
        <v>1</v>
      </c>
      <c r="L26" s="4"/>
      <c r="M26" s="4">
        <v>3</v>
      </c>
      <c r="N26" s="4">
        <v>1</v>
      </c>
      <c r="O26" s="4">
        <v>1</v>
      </c>
      <c r="P26" s="4"/>
      <c r="Q26" s="29">
        <v>1</v>
      </c>
      <c r="R26" s="4">
        <v>2009</v>
      </c>
      <c r="S26" s="32"/>
      <c r="T26" s="29"/>
      <c r="U26" s="4">
        <v>1</v>
      </c>
      <c r="V26" s="29"/>
      <c r="W26" s="4">
        <v>1</v>
      </c>
      <c r="X26" s="4">
        <v>2</v>
      </c>
      <c r="Y26" s="29" t="s">
        <v>70</v>
      </c>
      <c r="Z26" s="4" t="s">
        <v>70</v>
      </c>
      <c r="AA26" s="4" t="s">
        <v>70</v>
      </c>
      <c r="AB26" s="4" t="s">
        <v>70</v>
      </c>
      <c r="AC26" s="23" t="s">
        <v>147</v>
      </c>
      <c r="AD26" s="23" t="s">
        <v>72</v>
      </c>
      <c r="AE26" s="24" t="s">
        <v>73</v>
      </c>
      <c r="AF26" s="4" t="s">
        <v>74</v>
      </c>
      <c r="AG26" s="4">
        <v>2.9</v>
      </c>
      <c r="AH26" s="4" t="s">
        <v>84</v>
      </c>
      <c r="AI26" s="4">
        <v>2.2200000000000002</v>
      </c>
      <c r="AJ26" s="4" t="s">
        <v>129</v>
      </c>
      <c r="AK26" s="64">
        <v>1.5</v>
      </c>
      <c r="AL26" s="61">
        <v>0</v>
      </c>
      <c r="AM26" s="13">
        <v>33.892600335338742</v>
      </c>
      <c r="AN26" s="13">
        <v>64.953194430086199</v>
      </c>
      <c r="AO26" s="14">
        <v>3</v>
      </c>
      <c r="AP26" s="14">
        <v>4</v>
      </c>
      <c r="AQ26" s="13">
        <f>Table13[[#This Row],[Share of Domestic Debt (2023)]]-Table13[[#This Row],[Share of Domestic Debt (2005)]]</f>
        <v>31.060594094747458</v>
      </c>
      <c r="AR26" s="35" t="s">
        <v>104</v>
      </c>
      <c r="AS26" s="4" t="s">
        <v>77</v>
      </c>
      <c r="AT26" s="4">
        <v>0</v>
      </c>
      <c r="AU26" s="4">
        <v>0</v>
      </c>
      <c r="AV26" s="4">
        <v>2.2000000000000002</v>
      </c>
      <c r="AW26" s="4">
        <v>93.4</v>
      </c>
      <c r="AX26" s="4">
        <v>0</v>
      </c>
      <c r="AY26" s="4">
        <v>0</v>
      </c>
      <c r="AZ26" s="4">
        <v>4.4000000000000004</v>
      </c>
      <c r="BA26" s="34">
        <v>7.1887360180282638</v>
      </c>
      <c r="BB26" s="13">
        <v>7.633572767324952</v>
      </c>
      <c r="BC26" s="13">
        <v>6.400202704246567</v>
      </c>
      <c r="BD26" s="13">
        <v>1.8697475539274466</v>
      </c>
      <c r="BE26" s="14">
        <v>3</v>
      </c>
      <c r="BF26" s="14">
        <v>1</v>
      </c>
      <c r="BG26" s="14">
        <v>3</v>
      </c>
      <c r="BH26" s="14">
        <v>3</v>
      </c>
      <c r="BI26" s="14" t="s">
        <v>130</v>
      </c>
    </row>
    <row r="27" spans="1:61" ht="16" x14ac:dyDescent="0.35">
      <c r="A27" t="s">
        <v>152</v>
      </c>
      <c r="C27" s="4">
        <v>1</v>
      </c>
      <c r="D27" s="4" t="s">
        <v>138</v>
      </c>
      <c r="E27" s="4"/>
      <c r="F27" s="4"/>
      <c r="G27" s="4"/>
      <c r="H27" s="4"/>
      <c r="I27" s="55"/>
      <c r="J27" s="56"/>
      <c r="K27" s="4">
        <v>1</v>
      </c>
      <c r="L27" s="4">
        <v>1</v>
      </c>
      <c r="M27" s="4">
        <v>2</v>
      </c>
      <c r="N27" s="4">
        <v>1</v>
      </c>
      <c r="O27" s="4">
        <v>1</v>
      </c>
      <c r="P27" s="4"/>
      <c r="Q27" s="29">
        <v>1</v>
      </c>
      <c r="R27" s="4">
        <v>2005</v>
      </c>
      <c r="S27" s="32"/>
      <c r="T27" s="29"/>
      <c r="U27" s="4">
        <v>1</v>
      </c>
      <c r="V27" s="29">
        <v>1</v>
      </c>
      <c r="W27" s="4" t="s">
        <v>80</v>
      </c>
      <c r="X27" s="4">
        <v>3</v>
      </c>
      <c r="Y27" s="29" t="s">
        <v>91</v>
      </c>
      <c r="Z27" s="4"/>
      <c r="AA27" s="4" t="s">
        <v>81</v>
      </c>
      <c r="AB27" s="4" t="s">
        <v>91</v>
      </c>
      <c r="AC27" s="23" t="s">
        <v>92</v>
      </c>
      <c r="AD27" s="23" t="s">
        <v>72</v>
      </c>
      <c r="AE27" s="24" t="s">
        <v>115</v>
      </c>
      <c r="AF27" s="4" t="s">
        <v>84</v>
      </c>
      <c r="AG27" s="4">
        <v>3.49</v>
      </c>
      <c r="AH27" s="4" t="s">
        <v>98</v>
      </c>
      <c r="AI27" s="4">
        <v>3.28</v>
      </c>
      <c r="AJ27" s="4" t="s">
        <v>129</v>
      </c>
      <c r="AK27" s="64">
        <v>2</v>
      </c>
      <c r="AL27" s="67">
        <v>3.9499999999999993</v>
      </c>
      <c r="AM27" s="13">
        <v>22.812404876129278</v>
      </c>
      <c r="AN27" s="13">
        <v>42.583079957452611</v>
      </c>
      <c r="AO27" s="14">
        <v>3</v>
      </c>
      <c r="AP27" s="14">
        <v>2</v>
      </c>
      <c r="AQ27" s="13">
        <f>Table13[[#This Row],[Share of Domestic Debt (2023)]]-Table13[[#This Row],[Share of Domestic Debt (2005)]]</f>
        <v>19.770675081323333</v>
      </c>
      <c r="AR27" s="35" t="s">
        <v>94</v>
      </c>
      <c r="AS27" s="4" t="s">
        <v>86</v>
      </c>
      <c r="AT27" s="4">
        <v>0</v>
      </c>
      <c r="AU27" s="4">
        <v>4.7</v>
      </c>
      <c r="AV27" s="4">
        <v>22.1</v>
      </c>
      <c r="AW27" s="4">
        <v>10.1</v>
      </c>
      <c r="AX27" s="4">
        <v>13.2</v>
      </c>
      <c r="AY27" s="4">
        <v>0</v>
      </c>
      <c r="AZ27" s="4">
        <v>50</v>
      </c>
      <c r="BA27" s="34">
        <v>3.0895747142898733</v>
      </c>
      <c r="BB27" s="13">
        <v>4.9751383887798877</v>
      </c>
      <c r="BC27" s="13">
        <v>8.8583616780745515</v>
      </c>
      <c r="BD27" s="13">
        <v>8.9584866624842974</v>
      </c>
      <c r="BE27" s="14">
        <v>2</v>
      </c>
      <c r="BF27" s="14">
        <v>3</v>
      </c>
      <c r="BG27" s="14">
        <v>2</v>
      </c>
      <c r="BH27" s="14">
        <v>3</v>
      </c>
      <c r="BI27" s="14" t="s">
        <v>95</v>
      </c>
    </row>
    <row r="28" spans="1:61" ht="16" x14ac:dyDescent="0.35">
      <c r="A28" t="s">
        <v>153</v>
      </c>
      <c r="B28">
        <v>1</v>
      </c>
      <c r="C28" s="4">
        <v>1</v>
      </c>
      <c r="D28" s="4" t="s">
        <v>89</v>
      </c>
      <c r="E28" s="4" t="s">
        <v>107</v>
      </c>
      <c r="F28" s="4"/>
      <c r="G28" s="4"/>
      <c r="H28" s="4"/>
      <c r="I28" s="55">
        <v>1</v>
      </c>
      <c r="J28" s="56">
        <v>1</v>
      </c>
      <c r="K28" s="4">
        <v>1</v>
      </c>
      <c r="L28" s="4">
        <v>1</v>
      </c>
      <c r="M28" s="4">
        <v>2</v>
      </c>
      <c r="N28" s="4">
        <v>1</v>
      </c>
      <c r="O28" s="4">
        <v>1</v>
      </c>
      <c r="P28" s="4">
        <v>1</v>
      </c>
      <c r="Q28" s="29"/>
      <c r="R28" s="4"/>
      <c r="S28" s="32"/>
      <c r="T28" s="29">
        <v>1</v>
      </c>
      <c r="U28" s="4"/>
      <c r="V28" s="29">
        <v>1</v>
      </c>
      <c r="W28" s="4" t="s">
        <v>80</v>
      </c>
      <c r="X28" s="4">
        <v>3</v>
      </c>
      <c r="Y28" s="29"/>
      <c r="Z28" s="4"/>
      <c r="AA28" s="4" t="s">
        <v>70</v>
      </c>
      <c r="AB28" s="4" t="s">
        <v>70</v>
      </c>
      <c r="AC28" s="23" t="s">
        <v>154</v>
      </c>
      <c r="AD28" s="23" t="s">
        <v>72</v>
      </c>
      <c r="AE28" s="24" t="s">
        <v>111</v>
      </c>
      <c r="AF28" s="4" t="s">
        <v>84</v>
      </c>
      <c r="AG28" s="4">
        <v>3.86</v>
      </c>
      <c r="AH28" s="4" t="s">
        <v>84</v>
      </c>
      <c r="AI28" s="4">
        <v>3.83</v>
      </c>
      <c r="AJ28" s="4" t="s">
        <v>75</v>
      </c>
      <c r="AK28" s="64">
        <v>2</v>
      </c>
      <c r="AL28" s="67">
        <v>0.87999999999999545</v>
      </c>
      <c r="AM28" s="13">
        <v>43.563042952075335</v>
      </c>
      <c r="AN28" s="13">
        <v>49.198649627334049</v>
      </c>
      <c r="AO28" s="14">
        <v>4</v>
      </c>
      <c r="AP28" s="14">
        <v>3</v>
      </c>
      <c r="AQ28" s="13">
        <f>Table13[[#This Row],[Share of Domestic Debt (2023)]]-Table13[[#This Row],[Share of Domestic Debt (2005)]]</f>
        <v>5.6356066752587139</v>
      </c>
      <c r="AR28" s="35" t="s">
        <v>85</v>
      </c>
      <c r="AS28" s="4" t="s">
        <v>86</v>
      </c>
      <c r="AT28" s="4">
        <v>1</v>
      </c>
      <c r="AU28" s="4">
        <v>21.7</v>
      </c>
      <c r="AV28" s="4">
        <v>23.2</v>
      </c>
      <c r="AW28" s="4">
        <v>11.7</v>
      </c>
      <c r="AX28" s="4">
        <v>27.9</v>
      </c>
      <c r="AY28" s="4">
        <v>4.3</v>
      </c>
      <c r="AZ28" s="4">
        <v>11.3</v>
      </c>
      <c r="BA28" s="34">
        <v>8.9080728862316718</v>
      </c>
      <c r="BB28" s="13">
        <v>11.266627189889851</v>
      </c>
      <c r="BC28" s="13">
        <v>48.382152051242286</v>
      </c>
      <c r="BD28" s="13">
        <v>31.677137095662438</v>
      </c>
      <c r="BE28" s="14">
        <v>4</v>
      </c>
      <c r="BF28" s="14">
        <v>4</v>
      </c>
      <c r="BG28" s="14">
        <v>4</v>
      </c>
      <c r="BH28" s="14">
        <v>4</v>
      </c>
      <c r="BI28" s="14" t="s">
        <v>87</v>
      </c>
    </row>
    <row r="29" spans="1:61" ht="16" x14ac:dyDescent="0.35">
      <c r="A29" t="s">
        <v>155</v>
      </c>
      <c r="C29" s="4">
        <v>1</v>
      </c>
      <c r="D29" s="4" t="s">
        <v>79</v>
      </c>
      <c r="E29" s="4"/>
      <c r="F29" s="4">
        <v>1</v>
      </c>
      <c r="G29" s="4">
        <v>1</v>
      </c>
      <c r="H29" s="4">
        <v>1</v>
      </c>
      <c r="I29" s="55"/>
      <c r="J29" s="56"/>
      <c r="K29" s="4">
        <v>0</v>
      </c>
      <c r="L29" s="4"/>
      <c r="M29" s="4"/>
      <c r="N29" s="4">
        <v>0</v>
      </c>
      <c r="O29" s="4">
        <v>0</v>
      </c>
      <c r="P29" s="4"/>
      <c r="Q29" s="29"/>
      <c r="R29" s="4"/>
      <c r="S29" s="32"/>
      <c r="T29" s="29"/>
      <c r="U29" s="4">
        <v>1</v>
      </c>
      <c r="V29" s="29"/>
      <c r="W29" s="4" t="s">
        <v>126</v>
      </c>
      <c r="X29" s="4">
        <v>3</v>
      </c>
      <c r="Y29" s="29"/>
      <c r="Z29" s="4"/>
      <c r="AA29" s="4" t="s">
        <v>70</v>
      </c>
      <c r="AB29" s="4" t="s">
        <v>70</v>
      </c>
      <c r="AC29" s="23" t="s">
        <v>156</v>
      </c>
      <c r="AD29" s="23" t="s">
        <v>72</v>
      </c>
      <c r="AE29" s="24" t="s">
        <v>73</v>
      </c>
      <c r="AF29" s="4" t="s">
        <v>74</v>
      </c>
      <c r="AG29" s="4">
        <v>2.88</v>
      </c>
      <c r="AH29" s="4" t="s">
        <v>84</v>
      </c>
      <c r="AI29" s="4">
        <v>2.93</v>
      </c>
      <c r="AJ29" s="4" t="s">
        <v>129</v>
      </c>
      <c r="AK29" s="64">
        <v>4</v>
      </c>
      <c r="AL29" s="67">
        <v>0</v>
      </c>
      <c r="AM29" s="13" t="s">
        <v>76</v>
      </c>
      <c r="AN29" s="13" t="s">
        <v>76</v>
      </c>
      <c r="AO29" s="14" t="s">
        <v>76</v>
      </c>
      <c r="AP29" s="14" t="s">
        <v>76</v>
      </c>
      <c r="AQ29" s="13" t="s">
        <v>76</v>
      </c>
      <c r="AR29" s="35" t="s">
        <v>76</v>
      </c>
      <c r="AS29" s="4" t="s">
        <v>76</v>
      </c>
      <c r="AT29" s="4" t="s">
        <v>76</v>
      </c>
      <c r="AU29" s="4" t="s">
        <v>76</v>
      </c>
      <c r="AV29" s="4" t="s">
        <v>76</v>
      </c>
      <c r="AW29" s="4" t="s">
        <v>76</v>
      </c>
      <c r="AX29" s="4" t="s">
        <v>76</v>
      </c>
      <c r="AY29" s="4" t="s">
        <v>76</v>
      </c>
      <c r="AZ29" s="4" t="s">
        <v>76</v>
      </c>
      <c r="BA29" s="34">
        <v>0.79084899622960048</v>
      </c>
      <c r="BB29" s="13">
        <v>0.13056043823548732</v>
      </c>
      <c r="BC29" s="13">
        <v>1.8860076098145904</v>
      </c>
      <c r="BD29" s="13">
        <v>0.13509394065712765</v>
      </c>
      <c r="BE29" s="14">
        <v>1</v>
      </c>
      <c r="BF29" s="14">
        <v>1</v>
      </c>
      <c r="BG29" s="14">
        <v>1</v>
      </c>
      <c r="BH29" s="14">
        <v>1</v>
      </c>
      <c r="BI29" s="14" t="s">
        <v>99</v>
      </c>
    </row>
    <row r="30" spans="1:61" ht="16" x14ac:dyDescent="0.35">
      <c r="A30" t="s">
        <v>157</v>
      </c>
      <c r="C30" s="4">
        <v>1</v>
      </c>
      <c r="D30" s="4" t="s">
        <v>69</v>
      </c>
      <c r="E30" s="4"/>
      <c r="F30" s="4"/>
      <c r="G30" s="4"/>
      <c r="H30" s="4"/>
      <c r="I30" s="55"/>
      <c r="J30" s="56"/>
      <c r="K30" s="4">
        <v>1</v>
      </c>
      <c r="L30" s="4"/>
      <c r="M30" s="4">
        <v>3</v>
      </c>
      <c r="N30" s="4">
        <v>1</v>
      </c>
      <c r="O30" s="4">
        <v>1</v>
      </c>
      <c r="P30" s="4"/>
      <c r="Q30" s="29"/>
      <c r="R30" s="4"/>
      <c r="S30" s="32"/>
      <c r="T30" s="29">
        <v>1</v>
      </c>
      <c r="U30" s="4"/>
      <c r="V30" s="29"/>
      <c r="W30" s="4" t="s">
        <v>80</v>
      </c>
      <c r="X30" s="4">
        <v>2</v>
      </c>
      <c r="Y30" s="29" t="s">
        <v>70</v>
      </c>
      <c r="Z30" s="4"/>
      <c r="AA30" s="4" t="s">
        <v>91</v>
      </c>
      <c r="AB30" s="4" t="s">
        <v>91</v>
      </c>
      <c r="AC30" s="23" t="s">
        <v>158</v>
      </c>
      <c r="AD30" s="23" t="s">
        <v>72</v>
      </c>
      <c r="AE30" s="24" t="s">
        <v>93</v>
      </c>
      <c r="AF30" s="4" t="s">
        <v>84</v>
      </c>
      <c r="AG30" s="4">
        <v>3.59</v>
      </c>
      <c r="AH30" s="4" t="s">
        <v>98</v>
      </c>
      <c r="AI30" s="4">
        <v>3.58</v>
      </c>
      <c r="AJ30" s="4" t="s">
        <v>129</v>
      </c>
      <c r="AK30" s="64">
        <v>2</v>
      </c>
      <c r="AL30" s="67">
        <v>0</v>
      </c>
      <c r="AM30" s="13">
        <v>20.420703287954552</v>
      </c>
      <c r="AN30" s="13">
        <v>32.037482633482767</v>
      </c>
      <c r="AO30" s="14">
        <v>2</v>
      </c>
      <c r="AP30" s="14">
        <v>2</v>
      </c>
      <c r="AQ30" s="13">
        <f>Table13[[#This Row],[Share of Domestic Debt (2023)]]-Table13[[#This Row],[Share of Domestic Debt (2005)]]</f>
        <v>11.616779345528215</v>
      </c>
      <c r="AR30" s="35" t="s">
        <v>85</v>
      </c>
      <c r="AS30" s="4" t="s">
        <v>116</v>
      </c>
      <c r="AT30" s="4">
        <v>1</v>
      </c>
      <c r="AU30" s="4">
        <v>43</v>
      </c>
      <c r="AV30" s="4">
        <v>0</v>
      </c>
      <c r="AW30" s="4">
        <v>15.5</v>
      </c>
      <c r="AX30" s="4">
        <v>17.7</v>
      </c>
      <c r="AY30" s="4">
        <v>0</v>
      </c>
      <c r="AZ30" s="4">
        <v>23.8</v>
      </c>
      <c r="BA30" s="34">
        <v>3.6187523828296562</v>
      </c>
      <c r="BB30" s="13">
        <v>6.1332667591720735</v>
      </c>
      <c r="BC30" s="13">
        <v>2.2381110989819581</v>
      </c>
      <c r="BD30" s="13">
        <v>3.4475385835175807</v>
      </c>
      <c r="BE30" s="14">
        <v>3</v>
      </c>
      <c r="BF30" s="14">
        <v>1</v>
      </c>
      <c r="BG30" s="14">
        <v>2</v>
      </c>
      <c r="BH30" s="14">
        <v>1</v>
      </c>
      <c r="BI30" s="14" t="s">
        <v>130</v>
      </c>
    </row>
    <row r="31" spans="1:61" ht="16" x14ac:dyDescent="0.35">
      <c r="A31" t="s">
        <v>159</v>
      </c>
      <c r="B31">
        <v>1</v>
      </c>
      <c r="C31" s="4">
        <v>1</v>
      </c>
      <c r="D31" s="4" t="s">
        <v>79</v>
      </c>
      <c r="E31" s="4"/>
      <c r="F31" s="4"/>
      <c r="G31" s="4"/>
      <c r="H31" s="4"/>
      <c r="I31" s="55"/>
      <c r="J31" s="56"/>
      <c r="K31" s="4">
        <v>0</v>
      </c>
      <c r="L31" s="4"/>
      <c r="M31" s="4"/>
      <c r="N31" s="4">
        <v>0</v>
      </c>
      <c r="O31" s="4">
        <v>0</v>
      </c>
      <c r="P31" s="4"/>
      <c r="Q31" s="29"/>
      <c r="R31" s="4"/>
      <c r="S31" s="32"/>
      <c r="T31" s="29"/>
      <c r="U31" s="4">
        <v>1</v>
      </c>
      <c r="V31" s="29"/>
      <c r="W31" s="4" t="s">
        <v>126</v>
      </c>
      <c r="X31" s="4">
        <v>3</v>
      </c>
      <c r="Y31" s="29" t="s">
        <v>70</v>
      </c>
      <c r="Z31" s="4"/>
      <c r="AA31" s="4" t="s">
        <v>127</v>
      </c>
      <c r="AB31" s="4" t="s">
        <v>127</v>
      </c>
      <c r="AC31" s="23" t="s">
        <v>147</v>
      </c>
      <c r="AD31" s="23" t="s">
        <v>123</v>
      </c>
      <c r="AE31" s="24" t="s">
        <v>111</v>
      </c>
      <c r="AF31" s="4" t="s">
        <v>84</v>
      </c>
      <c r="AG31" s="4">
        <v>3.4</v>
      </c>
      <c r="AH31" s="4" t="s">
        <v>74</v>
      </c>
      <c r="AI31" s="4">
        <v>2.98</v>
      </c>
      <c r="AJ31" s="4" t="s">
        <v>103</v>
      </c>
      <c r="AK31" s="64">
        <v>6.15</v>
      </c>
      <c r="AL31" s="67">
        <v>27.934999999999999</v>
      </c>
      <c r="AM31" s="13">
        <v>0</v>
      </c>
      <c r="AN31" s="13">
        <v>30.248903800354725</v>
      </c>
      <c r="AO31" s="14">
        <v>1</v>
      </c>
      <c r="AP31" s="14">
        <v>1</v>
      </c>
      <c r="AQ31" s="13">
        <f>Table13[[#This Row],[Share of Domestic Debt (2023)]]-Table13[[#This Row],[Share of Domestic Debt (2005)]]</f>
        <v>30.248903800354725</v>
      </c>
      <c r="AR31" s="35" t="s">
        <v>104</v>
      </c>
      <c r="AS31" s="4" t="s">
        <v>116</v>
      </c>
      <c r="AT31" s="4">
        <v>1</v>
      </c>
      <c r="AU31" s="4">
        <v>49.6</v>
      </c>
      <c r="AV31" s="4">
        <v>15.1</v>
      </c>
      <c r="AW31" s="4">
        <v>16.2</v>
      </c>
      <c r="AX31" s="4">
        <v>7.1</v>
      </c>
      <c r="AY31" s="4">
        <v>0</v>
      </c>
      <c r="AZ31" s="4">
        <v>12</v>
      </c>
      <c r="BA31" s="34">
        <v>3.2142069912713511</v>
      </c>
      <c r="BB31" s="13">
        <v>7.4146695002814411</v>
      </c>
      <c r="BC31" s="13">
        <v>5.1444737223577395</v>
      </c>
      <c r="BD31" s="13">
        <v>19.572517253135356</v>
      </c>
      <c r="BE31" s="14">
        <v>3</v>
      </c>
      <c r="BF31" s="14">
        <v>4</v>
      </c>
      <c r="BG31" s="14">
        <v>2</v>
      </c>
      <c r="BH31" s="14">
        <v>2</v>
      </c>
      <c r="BI31" s="14" t="s">
        <v>95</v>
      </c>
    </row>
    <row r="32" spans="1:61" ht="16" x14ac:dyDescent="0.35">
      <c r="A32" t="s">
        <v>160</v>
      </c>
      <c r="C32" s="4">
        <v>1</v>
      </c>
      <c r="D32" s="4" t="s">
        <v>89</v>
      </c>
      <c r="E32" s="4"/>
      <c r="F32" s="4"/>
      <c r="G32" s="4"/>
      <c r="H32" s="4"/>
      <c r="I32" s="55"/>
      <c r="J32" s="56"/>
      <c r="K32" s="4">
        <v>1</v>
      </c>
      <c r="L32" s="4"/>
      <c r="M32" s="4">
        <v>1</v>
      </c>
      <c r="N32" s="4">
        <v>0</v>
      </c>
      <c r="O32" s="4">
        <v>0</v>
      </c>
      <c r="P32" s="4"/>
      <c r="Q32" s="29"/>
      <c r="R32" s="4"/>
      <c r="S32" s="32"/>
      <c r="T32" s="29">
        <v>1</v>
      </c>
      <c r="U32" s="4"/>
      <c r="V32" s="29"/>
      <c r="W32" s="4">
        <v>1</v>
      </c>
      <c r="X32" s="4">
        <v>1</v>
      </c>
      <c r="Y32" s="29" t="s">
        <v>91</v>
      </c>
      <c r="Z32" s="4"/>
      <c r="AA32" s="4" t="s">
        <v>91</v>
      </c>
      <c r="AB32" s="4" t="s">
        <v>91</v>
      </c>
      <c r="AC32" s="23" t="s">
        <v>97</v>
      </c>
      <c r="AD32" s="23" t="s">
        <v>72</v>
      </c>
      <c r="AE32" s="24" t="s">
        <v>93</v>
      </c>
      <c r="AF32" s="4" t="s">
        <v>84</v>
      </c>
      <c r="AG32" s="4">
        <v>3.48</v>
      </c>
      <c r="AH32" s="4" t="s">
        <v>84</v>
      </c>
      <c r="AI32" s="4">
        <v>3.27</v>
      </c>
      <c r="AJ32" s="4" t="s">
        <v>75</v>
      </c>
      <c r="AK32" s="64">
        <v>2.5666666666666669</v>
      </c>
      <c r="AL32" s="67">
        <v>1.1000000000000014</v>
      </c>
      <c r="AM32" s="13">
        <v>15.328289195268852</v>
      </c>
      <c r="AN32" s="13">
        <v>24.955280280682246</v>
      </c>
      <c r="AO32" s="14">
        <v>2</v>
      </c>
      <c r="AP32" s="14">
        <v>1</v>
      </c>
      <c r="AQ32" s="13">
        <f>Table13[[#This Row],[Share of Domestic Debt (2023)]]-Table13[[#This Row],[Share of Domestic Debt (2005)]]</f>
        <v>9.626991085413394</v>
      </c>
      <c r="AR32" s="35" t="s">
        <v>85</v>
      </c>
      <c r="AS32" s="4" t="s">
        <v>86</v>
      </c>
      <c r="AT32" s="4">
        <v>0</v>
      </c>
      <c r="AU32" s="4">
        <v>9.9</v>
      </c>
      <c r="AV32" s="4">
        <v>0.6</v>
      </c>
      <c r="AW32" s="4">
        <v>7.3</v>
      </c>
      <c r="AX32" s="4">
        <v>41.1</v>
      </c>
      <c r="AY32" s="4">
        <v>0</v>
      </c>
      <c r="AZ32" s="4">
        <v>41</v>
      </c>
      <c r="BA32" s="34">
        <v>2.7443975400569163</v>
      </c>
      <c r="BB32" s="13">
        <v>2.5336367544143297</v>
      </c>
      <c r="BC32" s="13">
        <v>3.7658200534761632</v>
      </c>
      <c r="BD32" s="13">
        <v>2.5836655150509409</v>
      </c>
      <c r="BE32" s="14">
        <v>1</v>
      </c>
      <c r="BF32" s="14">
        <v>1</v>
      </c>
      <c r="BG32" s="14">
        <v>2</v>
      </c>
      <c r="BH32" s="14">
        <v>2</v>
      </c>
      <c r="BI32" s="14" t="s">
        <v>100</v>
      </c>
    </row>
    <row r="33" spans="1:61" ht="16" x14ac:dyDescent="0.35">
      <c r="A33" t="s">
        <v>161</v>
      </c>
      <c r="C33" s="4">
        <v>1</v>
      </c>
      <c r="D33" s="4" t="s">
        <v>89</v>
      </c>
      <c r="E33" s="4"/>
      <c r="F33" s="4">
        <v>1</v>
      </c>
      <c r="G33" s="4"/>
      <c r="H33" s="4"/>
      <c r="I33" s="55">
        <v>1</v>
      </c>
      <c r="J33" s="56"/>
      <c r="K33" s="4">
        <v>1</v>
      </c>
      <c r="L33" s="4">
        <v>1</v>
      </c>
      <c r="M33" s="4">
        <v>4</v>
      </c>
      <c r="N33" s="4">
        <v>1</v>
      </c>
      <c r="O33" s="4">
        <v>1</v>
      </c>
      <c r="P33" s="4"/>
      <c r="Q33" s="29">
        <v>1</v>
      </c>
      <c r="R33" s="4">
        <v>2010</v>
      </c>
      <c r="S33" s="32"/>
      <c r="T33" s="29">
        <v>1</v>
      </c>
      <c r="U33" s="4"/>
      <c r="V33" s="29"/>
      <c r="W33" s="4">
        <v>1</v>
      </c>
      <c r="X33" s="4">
        <v>1</v>
      </c>
      <c r="Y33" s="29"/>
      <c r="Z33" s="4" t="s">
        <v>81</v>
      </c>
      <c r="AA33" s="4" t="s">
        <v>91</v>
      </c>
      <c r="AB33" s="4" t="s">
        <v>70</v>
      </c>
      <c r="AC33" s="23" t="s">
        <v>97</v>
      </c>
      <c r="AD33" s="23" t="s">
        <v>72</v>
      </c>
      <c r="AE33" s="24" t="s">
        <v>111</v>
      </c>
      <c r="AF33" s="4" t="s">
        <v>74</v>
      </c>
      <c r="AG33" s="4">
        <v>3.06</v>
      </c>
      <c r="AH33" s="4" t="s">
        <v>74</v>
      </c>
      <c r="AI33" s="4">
        <v>2.99</v>
      </c>
      <c r="AJ33" s="4" t="s">
        <v>75</v>
      </c>
      <c r="AK33" s="64">
        <v>1.6</v>
      </c>
      <c r="AL33" s="67">
        <v>7</v>
      </c>
      <c r="AM33" s="13">
        <v>76.658708748112389</v>
      </c>
      <c r="AN33" s="13">
        <v>50.655729742077483</v>
      </c>
      <c r="AO33" s="14">
        <v>4</v>
      </c>
      <c r="AP33" s="14">
        <v>3</v>
      </c>
      <c r="AQ33" s="13">
        <f>Table13[[#This Row],[Share of Domestic Debt (2023)]]-Table13[[#This Row],[Share of Domestic Debt (2005)]]</f>
        <v>-26.002979006034906</v>
      </c>
      <c r="AR33" s="35" t="s">
        <v>112</v>
      </c>
      <c r="AS33" s="4" t="s">
        <v>86</v>
      </c>
      <c r="AT33" s="4">
        <v>0</v>
      </c>
      <c r="AU33" s="4">
        <v>4.2</v>
      </c>
      <c r="AV33" s="4">
        <v>0</v>
      </c>
      <c r="AW33" s="4">
        <v>14.5</v>
      </c>
      <c r="AX33" s="4">
        <v>51.7</v>
      </c>
      <c r="AY33" s="4">
        <v>0.1</v>
      </c>
      <c r="AZ33" s="4">
        <v>29.5</v>
      </c>
      <c r="BA33" s="34">
        <v>0.11700569962211568</v>
      </c>
      <c r="BB33" s="13">
        <v>0.34858096529986049</v>
      </c>
      <c r="BC33" s="13">
        <v>3.5230270345275572</v>
      </c>
      <c r="BD33" s="13">
        <v>6.184547069815757</v>
      </c>
      <c r="BE33" s="14">
        <v>1</v>
      </c>
      <c r="BF33" s="14">
        <v>2</v>
      </c>
      <c r="BG33" s="14">
        <v>1</v>
      </c>
      <c r="BH33" s="14">
        <v>2</v>
      </c>
      <c r="BI33" s="14" t="s">
        <v>95</v>
      </c>
    </row>
    <row r="34" spans="1:61" ht="16" x14ac:dyDescent="0.35">
      <c r="A34" t="s">
        <v>162</v>
      </c>
      <c r="C34" s="4">
        <v>1</v>
      </c>
      <c r="D34" s="4" t="s">
        <v>89</v>
      </c>
      <c r="E34" s="4"/>
      <c r="F34" s="4"/>
      <c r="G34" s="4"/>
      <c r="H34" s="4"/>
      <c r="I34" s="55"/>
      <c r="J34" s="56"/>
      <c r="K34" s="4">
        <v>1</v>
      </c>
      <c r="L34" s="4">
        <v>1</v>
      </c>
      <c r="M34" s="4">
        <v>4</v>
      </c>
      <c r="N34" s="4">
        <v>1</v>
      </c>
      <c r="O34" s="4">
        <v>1</v>
      </c>
      <c r="P34" s="4">
        <v>1</v>
      </c>
      <c r="Q34" s="29">
        <v>1</v>
      </c>
      <c r="R34" s="4">
        <v>2004</v>
      </c>
      <c r="S34" s="32"/>
      <c r="T34" s="29">
        <v>1</v>
      </c>
      <c r="U34" s="4"/>
      <c r="V34" s="29"/>
      <c r="W34" s="4">
        <v>1</v>
      </c>
      <c r="X34" s="4">
        <v>1</v>
      </c>
      <c r="Y34" s="29" t="s">
        <v>81</v>
      </c>
      <c r="Z34" s="4"/>
      <c r="AA34" s="4" t="s">
        <v>91</v>
      </c>
      <c r="AB34" s="4" t="s">
        <v>91</v>
      </c>
      <c r="AC34" s="23" t="s">
        <v>82</v>
      </c>
      <c r="AD34" s="23" t="s">
        <v>72</v>
      </c>
      <c r="AE34" s="24" t="s">
        <v>93</v>
      </c>
      <c r="AF34" s="4" t="s">
        <v>74</v>
      </c>
      <c r="AG34" s="4">
        <v>3.04</v>
      </c>
      <c r="AH34" s="4" t="s">
        <v>84</v>
      </c>
      <c r="AI34" s="4">
        <v>3.25</v>
      </c>
      <c r="AJ34" s="4" t="s">
        <v>129</v>
      </c>
      <c r="AK34" s="64">
        <v>2.2000000000000002</v>
      </c>
      <c r="AL34" s="67">
        <v>0</v>
      </c>
      <c r="AM34" s="13">
        <v>21.142805921194238</v>
      </c>
      <c r="AN34" s="13">
        <v>47.265675901429503</v>
      </c>
      <c r="AO34" s="14">
        <v>2</v>
      </c>
      <c r="AP34" s="14">
        <v>3</v>
      </c>
      <c r="AQ34" s="13">
        <f>Table13[[#This Row],[Share of Domestic Debt (2023)]]-Table13[[#This Row],[Share of Domestic Debt (2005)]]</f>
        <v>26.122869980235265</v>
      </c>
      <c r="AR34" s="35" t="s">
        <v>94</v>
      </c>
      <c r="AS34" s="4" t="s">
        <v>86</v>
      </c>
      <c r="AT34" s="4">
        <v>0</v>
      </c>
      <c r="AU34" s="4">
        <v>4</v>
      </c>
      <c r="AV34" s="4">
        <v>3.5</v>
      </c>
      <c r="AW34" s="4">
        <v>12.6</v>
      </c>
      <c r="AX34" s="4">
        <v>55.3</v>
      </c>
      <c r="AY34" s="4">
        <v>0</v>
      </c>
      <c r="AZ34" s="4">
        <v>24.5</v>
      </c>
      <c r="BA34" s="34">
        <v>10.044699400199523</v>
      </c>
      <c r="BB34" s="13">
        <v>14.306136291437355</v>
      </c>
      <c r="BC34" s="13">
        <v>3.8513904174119435</v>
      </c>
      <c r="BD34" s="13">
        <v>6.5559734103099805</v>
      </c>
      <c r="BE34" s="14">
        <v>4</v>
      </c>
      <c r="BF34" s="14">
        <v>2</v>
      </c>
      <c r="BG34" s="14">
        <v>4</v>
      </c>
      <c r="BH34" s="14">
        <v>2</v>
      </c>
      <c r="BI34" s="14" t="s">
        <v>130</v>
      </c>
    </row>
    <row r="35" spans="1:61" ht="16" x14ac:dyDescent="0.35">
      <c r="A35" t="s">
        <v>163</v>
      </c>
      <c r="C35" s="4">
        <v>1</v>
      </c>
      <c r="D35" s="4" t="s">
        <v>89</v>
      </c>
      <c r="E35" s="4"/>
      <c r="F35" s="4">
        <v>1</v>
      </c>
      <c r="G35" s="4"/>
      <c r="H35" s="4"/>
      <c r="I35" s="55"/>
      <c r="J35" s="56"/>
      <c r="K35" s="4">
        <v>1</v>
      </c>
      <c r="L35" s="4">
        <v>1</v>
      </c>
      <c r="M35" s="4">
        <v>5</v>
      </c>
      <c r="N35" s="4">
        <v>1</v>
      </c>
      <c r="O35" s="4">
        <v>1</v>
      </c>
      <c r="P35" s="4"/>
      <c r="Q35" s="29">
        <v>1</v>
      </c>
      <c r="R35" s="4">
        <v>2006</v>
      </c>
      <c r="S35" s="32">
        <v>1</v>
      </c>
      <c r="T35" s="29">
        <v>1</v>
      </c>
      <c r="U35" s="4"/>
      <c r="V35" s="29"/>
      <c r="W35" s="4">
        <v>1</v>
      </c>
      <c r="X35" s="4">
        <v>1</v>
      </c>
      <c r="Y35" s="29" t="s">
        <v>91</v>
      </c>
      <c r="Z35" s="4" t="s">
        <v>91</v>
      </c>
      <c r="AA35" s="4" t="s">
        <v>127</v>
      </c>
      <c r="AB35" s="4" t="s">
        <v>127</v>
      </c>
      <c r="AC35" s="23" t="s">
        <v>164</v>
      </c>
      <c r="AD35" s="23" t="s">
        <v>123</v>
      </c>
      <c r="AE35" s="24" t="s">
        <v>111</v>
      </c>
      <c r="AF35" s="4" t="s">
        <v>74</v>
      </c>
      <c r="AG35" s="4">
        <v>3.16</v>
      </c>
      <c r="AH35" s="4" t="s">
        <v>74</v>
      </c>
      <c r="AI35" s="4">
        <v>3.03</v>
      </c>
      <c r="AJ35" s="4" t="s">
        <v>75</v>
      </c>
      <c r="AK35" s="64">
        <v>2</v>
      </c>
      <c r="AL35" s="67">
        <v>0</v>
      </c>
      <c r="AM35" s="13">
        <v>12.344029909546563</v>
      </c>
      <c r="AN35" s="13">
        <v>63.672162780552974</v>
      </c>
      <c r="AO35" s="14">
        <v>1</v>
      </c>
      <c r="AP35" s="14">
        <v>4</v>
      </c>
      <c r="AQ35" s="13">
        <f>Table13[[#This Row],[Share of Domestic Debt (2023)]]-Table13[[#This Row],[Share of Domestic Debt (2005)]]</f>
        <v>51.32813287100641</v>
      </c>
      <c r="AR35" s="35" t="s">
        <v>104</v>
      </c>
      <c r="AS35" s="4" t="s">
        <v>86</v>
      </c>
      <c r="AT35" s="4">
        <v>1</v>
      </c>
      <c r="AU35" s="4">
        <v>11.9</v>
      </c>
      <c r="AV35" s="4">
        <v>0</v>
      </c>
      <c r="AW35" s="4">
        <v>10.7</v>
      </c>
      <c r="AX35" s="4">
        <v>46.8</v>
      </c>
      <c r="AY35" s="4">
        <v>0</v>
      </c>
      <c r="AZ35" s="4">
        <v>30.6</v>
      </c>
      <c r="BA35" s="34">
        <v>27.875948119219501</v>
      </c>
      <c r="BB35" s="13">
        <v>19.085559151066256</v>
      </c>
      <c r="BC35" s="13">
        <v>39.485716440933906</v>
      </c>
      <c r="BD35" s="13">
        <v>30.413326120898017</v>
      </c>
      <c r="BE35" s="14">
        <v>4</v>
      </c>
      <c r="BF35" s="14">
        <v>4</v>
      </c>
      <c r="BG35" s="14">
        <v>4</v>
      </c>
      <c r="BH35" s="14">
        <v>4</v>
      </c>
      <c r="BI35" s="14" t="s">
        <v>87</v>
      </c>
    </row>
    <row r="36" spans="1:61" ht="16" x14ac:dyDescent="0.35">
      <c r="A36" t="s">
        <v>165</v>
      </c>
      <c r="B36">
        <v>1</v>
      </c>
      <c r="C36" s="4"/>
      <c r="D36" s="4" t="s">
        <v>79</v>
      </c>
      <c r="E36" s="4"/>
      <c r="F36" s="4"/>
      <c r="G36" s="4"/>
      <c r="H36" s="4">
        <v>1</v>
      </c>
      <c r="I36" s="55">
        <v>1</v>
      </c>
      <c r="J36" s="56">
        <v>1</v>
      </c>
      <c r="K36" s="4">
        <v>1</v>
      </c>
      <c r="L36" s="4"/>
      <c r="M36" s="4">
        <v>1</v>
      </c>
      <c r="N36" s="4">
        <v>0</v>
      </c>
      <c r="O36" s="4">
        <v>0</v>
      </c>
      <c r="P36" s="4"/>
      <c r="Q36" s="29"/>
      <c r="R36" s="4"/>
      <c r="S36" s="32"/>
      <c r="T36" s="29">
        <v>1</v>
      </c>
      <c r="U36" s="4"/>
      <c r="V36" s="29"/>
      <c r="W36" s="4" t="s">
        <v>126</v>
      </c>
      <c r="X36" s="4">
        <v>4</v>
      </c>
      <c r="Y36" s="29"/>
      <c r="Z36" s="4"/>
      <c r="AA36" s="4" t="s">
        <v>70</v>
      </c>
      <c r="AB36" s="4" t="s">
        <v>70</v>
      </c>
      <c r="AC36" s="23" t="s">
        <v>136</v>
      </c>
      <c r="AD36" s="23" t="s">
        <v>72</v>
      </c>
      <c r="AE36" s="24" t="s">
        <v>73</v>
      </c>
      <c r="AF36" s="4" t="s">
        <v>84</v>
      </c>
      <c r="AG36" s="4">
        <v>3.28</v>
      </c>
      <c r="AH36" s="4" t="s">
        <v>74</v>
      </c>
      <c r="AI36" s="4">
        <v>3.11</v>
      </c>
      <c r="AJ36" s="4" t="s">
        <v>103</v>
      </c>
      <c r="AK36" s="64">
        <v>2</v>
      </c>
      <c r="AL36" s="67">
        <v>0</v>
      </c>
      <c r="AM36" s="13">
        <v>40.348167084390909</v>
      </c>
      <c r="AN36" s="13">
        <v>57.771168023530549</v>
      </c>
      <c r="AO36" s="14">
        <v>4</v>
      </c>
      <c r="AP36" s="14">
        <v>4</v>
      </c>
      <c r="AQ36" s="13">
        <f>Table13[[#This Row],[Share of Domestic Debt (2023)]]-Table13[[#This Row],[Share of Domestic Debt (2005)]]</f>
        <v>17.423000939139641</v>
      </c>
      <c r="AR36" s="35" t="s">
        <v>85</v>
      </c>
      <c r="AS36" s="4" t="s">
        <v>116</v>
      </c>
      <c r="AT36" s="4">
        <v>1</v>
      </c>
      <c r="AU36" s="4">
        <v>37.1</v>
      </c>
      <c r="AV36" s="4">
        <v>18.7</v>
      </c>
      <c r="AW36" s="4">
        <v>22</v>
      </c>
      <c r="AX36" s="4">
        <v>6.5</v>
      </c>
      <c r="AY36" s="4">
        <v>0</v>
      </c>
      <c r="AZ36" s="4">
        <v>15.7</v>
      </c>
      <c r="BA36" s="34">
        <v>2.4976581763224237</v>
      </c>
      <c r="BB36" s="13">
        <v>3.357974376205858</v>
      </c>
      <c r="BC36" s="13">
        <v>7.2220106696338506</v>
      </c>
      <c r="BD36" s="13">
        <v>17.005131031778763</v>
      </c>
      <c r="BE36" s="14">
        <v>2</v>
      </c>
      <c r="BF36" s="14">
        <v>4</v>
      </c>
      <c r="BG36" s="14">
        <v>1</v>
      </c>
      <c r="BH36" s="14">
        <v>3</v>
      </c>
      <c r="BI36" s="14" t="s">
        <v>95</v>
      </c>
    </row>
    <row r="37" spans="1:61" ht="16" customHeight="1" x14ac:dyDescent="0.35">
      <c r="A37" t="s">
        <v>166</v>
      </c>
      <c r="C37" s="4">
        <v>1</v>
      </c>
      <c r="D37" s="4" t="s">
        <v>89</v>
      </c>
      <c r="E37" s="4" t="s">
        <v>90</v>
      </c>
      <c r="F37" s="4">
        <v>1</v>
      </c>
      <c r="G37" s="4">
        <v>1</v>
      </c>
      <c r="H37" s="4"/>
      <c r="I37" s="55">
        <v>1</v>
      </c>
      <c r="J37" s="56">
        <v>1</v>
      </c>
      <c r="K37" s="4">
        <v>1</v>
      </c>
      <c r="L37" s="4"/>
      <c r="M37" s="4">
        <v>4</v>
      </c>
      <c r="N37" s="4">
        <v>1</v>
      </c>
      <c r="O37" s="4">
        <v>1</v>
      </c>
      <c r="P37" s="4"/>
      <c r="Q37" s="29">
        <v>1</v>
      </c>
      <c r="R37" s="4" t="s">
        <v>167</v>
      </c>
      <c r="S37" s="32"/>
      <c r="T37" s="29">
        <v>1</v>
      </c>
      <c r="U37" s="4"/>
      <c r="V37" s="29"/>
      <c r="W37" s="4">
        <v>1</v>
      </c>
      <c r="X37" s="4">
        <v>1</v>
      </c>
      <c r="Y37" s="29" t="s">
        <v>81</v>
      </c>
      <c r="Z37" s="4"/>
      <c r="AA37" s="4" t="s">
        <v>91</v>
      </c>
      <c r="AB37" s="4" t="s">
        <v>91</v>
      </c>
      <c r="AC37" s="23" t="s">
        <v>168</v>
      </c>
      <c r="AD37" s="23" t="s">
        <v>72</v>
      </c>
      <c r="AE37" s="24" t="s">
        <v>111</v>
      </c>
      <c r="AF37" s="4" t="s">
        <v>84</v>
      </c>
      <c r="AG37" s="4">
        <v>3.38</v>
      </c>
      <c r="AH37" s="4" t="s">
        <v>84</v>
      </c>
      <c r="AI37" s="4">
        <v>3.21</v>
      </c>
      <c r="AJ37" s="4" t="s">
        <v>75</v>
      </c>
      <c r="AK37" s="64">
        <v>3.75</v>
      </c>
      <c r="AL37" s="67">
        <v>0.97499999999999432</v>
      </c>
      <c r="AM37" s="13">
        <v>0</v>
      </c>
      <c r="AN37" s="13">
        <v>51.337247134476343</v>
      </c>
      <c r="AO37" s="14">
        <v>1</v>
      </c>
      <c r="AP37" s="14">
        <v>3</v>
      </c>
      <c r="AQ37" s="13">
        <f>Table13[[#This Row],[Share of Domestic Debt (2023)]]-Table13[[#This Row],[Share of Domestic Debt (2005)]]</f>
        <v>51.337247134476343</v>
      </c>
      <c r="AR37" s="35" t="s">
        <v>104</v>
      </c>
      <c r="AS37" s="4" t="s">
        <v>86</v>
      </c>
      <c r="AT37" s="4">
        <v>1</v>
      </c>
      <c r="AU37" s="4">
        <v>12</v>
      </c>
      <c r="AV37" s="4">
        <v>0</v>
      </c>
      <c r="AW37" s="4">
        <v>14.1</v>
      </c>
      <c r="AX37" s="4">
        <v>40.299999999999997</v>
      </c>
      <c r="AY37" s="4">
        <v>0</v>
      </c>
      <c r="AZ37" s="4">
        <v>33.5</v>
      </c>
      <c r="BA37" s="34">
        <v>2.5711922884742067</v>
      </c>
      <c r="BB37" s="13">
        <v>2.936754278587804</v>
      </c>
      <c r="BC37" s="13">
        <v>5.6956072897868646</v>
      </c>
      <c r="BD37" s="13">
        <v>7.6487524993802056</v>
      </c>
      <c r="BE37" s="14">
        <v>1</v>
      </c>
      <c r="BF37" s="14">
        <v>2</v>
      </c>
      <c r="BG37" s="14">
        <v>2</v>
      </c>
      <c r="BH37" s="14">
        <v>2</v>
      </c>
      <c r="BI37" s="14" t="s">
        <v>105</v>
      </c>
    </row>
    <row r="38" spans="1:61" ht="16" customHeight="1" x14ac:dyDescent="0.35">
      <c r="A38" t="s">
        <v>169</v>
      </c>
      <c r="C38" s="4"/>
      <c r="D38" s="4" t="s">
        <v>79</v>
      </c>
      <c r="E38" s="4"/>
      <c r="F38" s="4">
        <v>1</v>
      </c>
      <c r="G38" s="4">
        <v>1</v>
      </c>
      <c r="H38" s="4">
        <v>1</v>
      </c>
      <c r="I38" s="55"/>
      <c r="J38" s="56"/>
      <c r="K38" s="4">
        <v>0</v>
      </c>
      <c r="L38" s="4"/>
      <c r="M38" s="4"/>
      <c r="N38" s="4">
        <v>0</v>
      </c>
      <c r="O38" s="4">
        <v>0</v>
      </c>
      <c r="P38" s="4"/>
      <c r="Q38" s="29"/>
      <c r="R38" s="4"/>
      <c r="S38" s="32"/>
      <c r="T38" s="29"/>
      <c r="U38" s="4">
        <v>1</v>
      </c>
      <c r="V38" s="29"/>
      <c r="W38" s="4" t="s">
        <v>126</v>
      </c>
      <c r="X38" s="4">
        <v>4</v>
      </c>
      <c r="Y38" s="29"/>
      <c r="Z38" s="4"/>
      <c r="AA38" s="4" t="s">
        <v>70</v>
      </c>
      <c r="AB38" s="4" t="s">
        <v>70</v>
      </c>
      <c r="AC38" s="23" t="s">
        <v>170</v>
      </c>
      <c r="AD38" s="23" t="s">
        <v>72</v>
      </c>
      <c r="AE38" s="24" t="s">
        <v>73</v>
      </c>
      <c r="AF38" s="4" t="s">
        <v>74</v>
      </c>
      <c r="AG38" s="4">
        <v>2.68</v>
      </c>
      <c r="AH38" s="4" t="s">
        <v>74</v>
      </c>
      <c r="AI38" s="4">
        <v>2.65</v>
      </c>
      <c r="AJ38" s="4" t="s">
        <v>75</v>
      </c>
      <c r="AK38" s="64">
        <v>2</v>
      </c>
      <c r="AL38" s="67">
        <v>0</v>
      </c>
      <c r="AM38" s="13" t="s">
        <v>76</v>
      </c>
      <c r="AN38" s="13" t="s">
        <v>76</v>
      </c>
      <c r="AO38" s="14" t="s">
        <v>76</v>
      </c>
      <c r="AP38" s="14" t="s">
        <v>76</v>
      </c>
      <c r="AQ38" s="13" t="s">
        <v>76</v>
      </c>
      <c r="AR38" s="35" t="s">
        <v>76</v>
      </c>
      <c r="AS38" s="4" t="s">
        <v>76</v>
      </c>
      <c r="AT38" s="4" t="s">
        <v>76</v>
      </c>
      <c r="AU38" s="4" t="s">
        <v>76</v>
      </c>
      <c r="AV38" s="4" t="s">
        <v>76</v>
      </c>
      <c r="AW38" s="4" t="s">
        <v>76</v>
      </c>
      <c r="AX38" s="4" t="s">
        <v>76</v>
      </c>
      <c r="AY38" s="4" t="s">
        <v>76</v>
      </c>
      <c r="AZ38" s="4" t="s">
        <v>76</v>
      </c>
      <c r="BA38" s="34">
        <v>2.0909644741831785</v>
      </c>
      <c r="BB38" s="13">
        <v>1.0711390443151745</v>
      </c>
      <c r="BC38" s="13">
        <v>0.57691045622947867</v>
      </c>
      <c r="BD38" s="13">
        <v>0.31430044115116418</v>
      </c>
      <c r="BE38" s="14">
        <v>1</v>
      </c>
      <c r="BF38" s="14">
        <v>1</v>
      </c>
      <c r="BG38" s="14">
        <v>1</v>
      </c>
      <c r="BH38" s="14">
        <v>1</v>
      </c>
      <c r="BI38" s="14" t="s">
        <v>99</v>
      </c>
    </row>
    <row r="39" spans="1:61" ht="16" customHeight="1" x14ac:dyDescent="0.35">
      <c r="A39" t="s">
        <v>171</v>
      </c>
      <c r="C39" s="4">
        <v>1</v>
      </c>
      <c r="D39" s="4" t="s">
        <v>69</v>
      </c>
      <c r="E39" s="4"/>
      <c r="F39" s="4">
        <v>1</v>
      </c>
      <c r="G39" s="4"/>
      <c r="H39" s="4"/>
      <c r="I39" s="55"/>
      <c r="J39" s="56"/>
      <c r="K39" s="4">
        <v>1</v>
      </c>
      <c r="L39" s="4">
        <v>1</v>
      </c>
      <c r="M39" s="4">
        <v>4</v>
      </c>
      <c r="N39" s="4">
        <v>1</v>
      </c>
      <c r="O39" s="4">
        <v>1</v>
      </c>
      <c r="P39" s="4">
        <v>1</v>
      </c>
      <c r="Q39" s="29">
        <v>1</v>
      </c>
      <c r="R39" s="4">
        <v>2002</v>
      </c>
      <c r="S39" s="32"/>
      <c r="T39" s="29">
        <v>1</v>
      </c>
      <c r="U39" s="4"/>
      <c r="V39" s="29"/>
      <c r="W39" s="4" t="s">
        <v>80</v>
      </c>
      <c r="X39" s="4">
        <v>3</v>
      </c>
      <c r="Y39" s="29" t="s">
        <v>91</v>
      </c>
      <c r="Z39" s="4"/>
      <c r="AA39" s="4" t="s">
        <v>91</v>
      </c>
      <c r="AB39" s="4" t="s">
        <v>91</v>
      </c>
      <c r="AC39" s="23" t="s">
        <v>92</v>
      </c>
      <c r="AD39" s="23" t="s">
        <v>72</v>
      </c>
      <c r="AE39" s="24" t="s">
        <v>111</v>
      </c>
      <c r="AF39" s="4" t="s">
        <v>84</v>
      </c>
      <c r="AG39" s="4">
        <v>3.23</v>
      </c>
      <c r="AH39" s="4" t="s">
        <v>84</v>
      </c>
      <c r="AI39" s="4">
        <v>3.57</v>
      </c>
      <c r="AJ39" s="4" t="s">
        <v>75</v>
      </c>
      <c r="AK39" s="64">
        <v>5.32</v>
      </c>
      <c r="AL39" s="67">
        <v>1.5799999999999983</v>
      </c>
      <c r="AM39" s="13">
        <v>1.5949679190825066</v>
      </c>
      <c r="AN39" s="13">
        <v>21.342391857665433</v>
      </c>
      <c r="AO39" s="14">
        <v>1</v>
      </c>
      <c r="AP39" s="14">
        <v>1</v>
      </c>
      <c r="AQ39" s="13">
        <f>Table13[[#This Row],[Share of Domestic Debt (2023)]]-Table13[[#This Row],[Share of Domestic Debt (2005)]]</f>
        <v>19.747423938582926</v>
      </c>
      <c r="AR39" s="35" t="s">
        <v>94</v>
      </c>
      <c r="AS39" s="4" t="s">
        <v>86</v>
      </c>
      <c r="AT39" s="4">
        <v>0</v>
      </c>
      <c r="AU39" s="4">
        <v>8.4</v>
      </c>
      <c r="AV39" s="4">
        <v>0</v>
      </c>
      <c r="AW39" s="4">
        <v>32.9</v>
      </c>
      <c r="AX39" s="4">
        <v>10.1</v>
      </c>
      <c r="AY39" s="4">
        <v>0</v>
      </c>
      <c r="AZ39" s="4">
        <v>48.6</v>
      </c>
      <c r="BA39" s="34">
        <v>8.6017609909775778</v>
      </c>
      <c r="BB39" s="13">
        <v>11.368153013925683</v>
      </c>
      <c r="BC39" s="13">
        <v>2.4409151355335954</v>
      </c>
      <c r="BD39" s="13">
        <v>4.0522416355203861</v>
      </c>
      <c r="BE39" s="14">
        <v>4</v>
      </c>
      <c r="BF39" s="14">
        <v>2</v>
      </c>
      <c r="BG39" s="14">
        <v>4</v>
      </c>
      <c r="BH39" s="14">
        <v>1</v>
      </c>
      <c r="BI39" s="14" t="s">
        <v>130</v>
      </c>
    </row>
    <row r="40" spans="1:61" ht="16" x14ac:dyDescent="0.35">
      <c r="A40" t="s">
        <v>172</v>
      </c>
      <c r="C40" s="4"/>
      <c r="D40" s="4" t="s">
        <v>79</v>
      </c>
      <c r="E40" s="4"/>
      <c r="F40" s="4"/>
      <c r="G40" s="4">
        <v>1</v>
      </c>
      <c r="H40" s="4">
        <v>1</v>
      </c>
      <c r="I40" s="55"/>
      <c r="J40" s="56"/>
      <c r="K40" s="4">
        <v>0</v>
      </c>
      <c r="L40" s="4"/>
      <c r="M40" s="4"/>
      <c r="N40" s="4">
        <v>0</v>
      </c>
      <c r="O40" s="4">
        <v>0</v>
      </c>
      <c r="P40" s="4"/>
      <c r="Q40" s="29"/>
      <c r="R40" s="4"/>
      <c r="S40" s="32"/>
      <c r="T40" s="29"/>
      <c r="U40" s="4">
        <v>1</v>
      </c>
      <c r="V40" s="29"/>
      <c r="W40" s="4" t="s">
        <v>80</v>
      </c>
      <c r="X40" s="4">
        <v>4</v>
      </c>
      <c r="Y40" s="29"/>
      <c r="Z40" s="4"/>
      <c r="AA40" s="4" t="s">
        <v>91</v>
      </c>
      <c r="AB40" s="4" t="s">
        <v>91</v>
      </c>
      <c r="AC40" s="23" t="s">
        <v>158</v>
      </c>
      <c r="AD40" s="23" t="s">
        <v>72</v>
      </c>
      <c r="AE40" s="24" t="s">
        <v>73</v>
      </c>
      <c r="AF40" s="4" t="s">
        <v>74</v>
      </c>
      <c r="AG40" s="4">
        <v>2.69</v>
      </c>
      <c r="AH40" s="4" t="s">
        <v>74</v>
      </c>
      <c r="AI40" s="4">
        <v>2.78</v>
      </c>
      <c r="AJ40" s="4" t="s">
        <v>75</v>
      </c>
      <c r="AK40" s="64">
        <v>2</v>
      </c>
      <c r="AL40" s="67">
        <v>0</v>
      </c>
      <c r="AM40" s="13" t="s">
        <v>76</v>
      </c>
      <c r="AN40" s="13" t="s">
        <v>76</v>
      </c>
      <c r="AO40" s="14" t="s">
        <v>76</v>
      </c>
      <c r="AP40" s="14" t="s">
        <v>76</v>
      </c>
      <c r="AQ40" s="13" t="s">
        <v>76</v>
      </c>
      <c r="AR40" s="35" t="s">
        <v>76</v>
      </c>
      <c r="AS40" s="4" t="s">
        <v>76</v>
      </c>
      <c r="AT40" s="4" t="s">
        <v>76</v>
      </c>
      <c r="AU40" s="4" t="s">
        <v>76</v>
      </c>
      <c r="AV40" s="4" t="s">
        <v>76</v>
      </c>
      <c r="AW40" s="4" t="s">
        <v>76</v>
      </c>
      <c r="AX40" s="4" t="s">
        <v>76</v>
      </c>
      <c r="AY40" s="4" t="s">
        <v>76</v>
      </c>
      <c r="AZ40" s="4" t="s">
        <v>76</v>
      </c>
      <c r="BA40" s="34">
        <v>1.0609932957656105</v>
      </c>
      <c r="BB40" s="13">
        <v>0.3291571349649221</v>
      </c>
      <c r="BC40" s="13">
        <v>0.47313492615315195</v>
      </c>
      <c r="BD40" s="13">
        <v>0.19736137172360968</v>
      </c>
      <c r="BE40" s="14">
        <v>1</v>
      </c>
      <c r="BF40" s="14">
        <v>1</v>
      </c>
      <c r="BG40" s="14">
        <v>1</v>
      </c>
      <c r="BH40" s="14">
        <v>1</v>
      </c>
      <c r="BI40" s="14" t="s">
        <v>99</v>
      </c>
    </row>
    <row r="41" spans="1:61" ht="16" x14ac:dyDescent="0.35">
      <c r="A41" t="s">
        <v>173</v>
      </c>
      <c r="C41" s="4">
        <v>1</v>
      </c>
      <c r="D41" s="4" t="s">
        <v>174</v>
      </c>
      <c r="E41" s="4"/>
      <c r="F41" s="4"/>
      <c r="G41" s="4"/>
      <c r="H41" s="4"/>
      <c r="I41" s="55"/>
      <c r="J41" s="56"/>
      <c r="K41" s="4">
        <v>1</v>
      </c>
      <c r="L41" s="4">
        <v>1</v>
      </c>
      <c r="M41" s="4">
        <v>4</v>
      </c>
      <c r="N41" s="4">
        <v>1</v>
      </c>
      <c r="O41" s="4">
        <v>1</v>
      </c>
      <c r="P41" s="4">
        <v>1</v>
      </c>
      <c r="Q41" s="29"/>
      <c r="R41" s="4"/>
      <c r="S41" s="32"/>
      <c r="T41" s="29"/>
      <c r="U41" s="4">
        <v>1</v>
      </c>
      <c r="V41" s="29"/>
      <c r="W41" s="4" t="s">
        <v>80</v>
      </c>
      <c r="X41" s="4">
        <v>4</v>
      </c>
      <c r="Y41" s="29" t="s">
        <v>81</v>
      </c>
      <c r="Z41" s="4"/>
      <c r="AA41" s="4" t="s">
        <v>81</v>
      </c>
      <c r="AB41" s="4" t="s">
        <v>91</v>
      </c>
      <c r="AC41" s="23" t="s">
        <v>92</v>
      </c>
      <c r="AD41" s="23" t="s">
        <v>72</v>
      </c>
      <c r="AE41" s="24" t="s">
        <v>111</v>
      </c>
      <c r="AF41" s="4" t="s">
        <v>84</v>
      </c>
      <c r="AG41" s="4">
        <v>3.82</v>
      </c>
      <c r="AH41" s="4" t="s">
        <v>98</v>
      </c>
      <c r="AI41" s="4" t="s">
        <v>76</v>
      </c>
      <c r="AJ41" s="4" t="s">
        <v>129</v>
      </c>
      <c r="AK41" s="64">
        <v>2</v>
      </c>
      <c r="AL41" s="67">
        <v>0</v>
      </c>
      <c r="AM41" s="13">
        <v>41.165573850326851</v>
      </c>
      <c r="AN41" s="13">
        <v>56.839807306761493</v>
      </c>
      <c r="AO41" s="14">
        <v>4</v>
      </c>
      <c r="AP41" s="14">
        <v>4</v>
      </c>
      <c r="AQ41" s="13">
        <f>Table13[[#This Row],[Share of Domestic Debt (2023)]]-Table13[[#This Row],[Share of Domestic Debt (2005)]]</f>
        <v>15.674233456434642</v>
      </c>
      <c r="AR41" s="35" t="s">
        <v>85</v>
      </c>
      <c r="AS41" s="4" t="s">
        <v>86</v>
      </c>
      <c r="AT41" s="4">
        <v>0</v>
      </c>
      <c r="AU41" s="4">
        <v>0.1</v>
      </c>
      <c r="AV41" s="4">
        <v>1.4</v>
      </c>
      <c r="AW41" s="4">
        <v>14.2</v>
      </c>
      <c r="AX41" s="4">
        <v>48</v>
      </c>
      <c r="AY41" s="4">
        <v>0</v>
      </c>
      <c r="AZ41" s="4">
        <v>36.299999999999997</v>
      </c>
      <c r="BA41" s="34">
        <v>2.8030191125837578</v>
      </c>
      <c r="BB41" s="13">
        <v>3.2406607669421468</v>
      </c>
      <c r="BC41" s="13">
        <v>4.7200200148114257</v>
      </c>
      <c r="BD41" s="13">
        <v>4.9476653204269239</v>
      </c>
      <c r="BE41" s="14">
        <v>2</v>
      </c>
      <c r="BF41" s="14">
        <v>2</v>
      </c>
      <c r="BG41" s="14">
        <v>2</v>
      </c>
      <c r="BH41" s="14">
        <v>2</v>
      </c>
      <c r="BI41" s="14" t="s">
        <v>100</v>
      </c>
    </row>
    <row r="42" spans="1:61" ht="16" x14ac:dyDescent="0.35">
      <c r="A42" t="s">
        <v>175</v>
      </c>
      <c r="B42">
        <v>1</v>
      </c>
      <c r="C42" s="4">
        <v>1</v>
      </c>
      <c r="D42" s="4" t="s">
        <v>89</v>
      </c>
      <c r="E42" s="4"/>
      <c r="F42" s="4"/>
      <c r="G42" s="4">
        <v>1</v>
      </c>
      <c r="H42" s="4"/>
      <c r="I42" s="55"/>
      <c r="J42" s="56"/>
      <c r="K42" s="4">
        <v>1</v>
      </c>
      <c r="L42" s="4">
        <v>1</v>
      </c>
      <c r="M42" s="4">
        <v>2</v>
      </c>
      <c r="N42" s="4">
        <v>1</v>
      </c>
      <c r="O42" s="4">
        <v>1</v>
      </c>
      <c r="P42" s="4"/>
      <c r="Q42" s="29">
        <v>1</v>
      </c>
      <c r="R42" s="4" t="s">
        <v>176</v>
      </c>
      <c r="S42" s="32">
        <v>1</v>
      </c>
      <c r="T42" s="29">
        <v>1</v>
      </c>
      <c r="U42" s="4"/>
      <c r="V42" s="29">
        <v>1</v>
      </c>
      <c r="W42" s="4">
        <v>1</v>
      </c>
      <c r="X42" s="4">
        <v>1</v>
      </c>
      <c r="Y42" s="29" t="s">
        <v>81</v>
      </c>
      <c r="Z42" s="4"/>
      <c r="AA42" s="4" t="s">
        <v>70</v>
      </c>
      <c r="AB42" s="4" t="s">
        <v>70</v>
      </c>
      <c r="AC42" s="23" t="s">
        <v>132</v>
      </c>
      <c r="AD42" s="23" t="s">
        <v>123</v>
      </c>
      <c r="AE42" s="24" t="s">
        <v>111</v>
      </c>
      <c r="AF42" s="4" t="s">
        <v>84</v>
      </c>
      <c r="AG42" s="4">
        <v>3.73</v>
      </c>
      <c r="AH42" s="4" t="s">
        <v>74</v>
      </c>
      <c r="AI42" s="4">
        <v>3.13</v>
      </c>
      <c r="AJ42" s="4" t="s">
        <v>103</v>
      </c>
      <c r="AK42" s="64">
        <v>5.6666666666666661</v>
      </c>
      <c r="AL42" s="67">
        <v>3.2399999999999984</v>
      </c>
      <c r="AM42" s="13">
        <v>33.71977613469916</v>
      </c>
      <c r="AN42" s="13">
        <v>51.593393065087668</v>
      </c>
      <c r="AO42" s="14">
        <v>3</v>
      </c>
      <c r="AP42" s="14">
        <v>3</v>
      </c>
      <c r="AQ42" s="13">
        <f>Table13[[#This Row],[Share of Domestic Debt (2023)]]-Table13[[#This Row],[Share of Domestic Debt (2005)]]</f>
        <v>17.873616930388508</v>
      </c>
      <c r="AR42" s="35" t="s">
        <v>94</v>
      </c>
      <c r="AS42" s="4" t="s">
        <v>86</v>
      </c>
      <c r="AT42" s="4">
        <v>1</v>
      </c>
      <c r="AU42" s="4">
        <v>18.3</v>
      </c>
      <c r="AV42" s="4">
        <v>18.100000000000001</v>
      </c>
      <c r="AW42" s="4">
        <v>20.3</v>
      </c>
      <c r="AX42" s="4">
        <v>29.2</v>
      </c>
      <c r="AY42" s="4">
        <v>0</v>
      </c>
      <c r="AZ42" s="4">
        <v>14.2</v>
      </c>
      <c r="BA42" s="34">
        <v>2.592792571590012</v>
      </c>
      <c r="BB42" s="13">
        <v>4.0886399937843292</v>
      </c>
      <c r="BC42" s="13">
        <v>9.7556693816470865</v>
      </c>
      <c r="BD42" s="13">
        <v>14.629897621943725</v>
      </c>
      <c r="BE42" s="14">
        <v>2</v>
      </c>
      <c r="BF42" s="14">
        <v>4</v>
      </c>
      <c r="BG42" s="14">
        <v>2</v>
      </c>
      <c r="BH42" s="14">
        <v>4</v>
      </c>
      <c r="BI42" s="14" t="s">
        <v>95</v>
      </c>
    </row>
    <row r="43" spans="1:61" ht="16" x14ac:dyDescent="0.35">
      <c r="A43" t="s">
        <v>177</v>
      </c>
      <c r="C43" s="4">
        <v>1</v>
      </c>
      <c r="D43" s="4" t="s">
        <v>79</v>
      </c>
      <c r="E43" s="4"/>
      <c r="F43" s="4"/>
      <c r="G43" s="4">
        <v>1</v>
      </c>
      <c r="H43" s="4"/>
      <c r="I43" s="55"/>
      <c r="J43" s="56"/>
      <c r="K43" s="4">
        <v>0</v>
      </c>
      <c r="L43" s="4"/>
      <c r="M43" s="4"/>
      <c r="N43" s="4">
        <v>0</v>
      </c>
      <c r="O43" s="4">
        <v>0</v>
      </c>
      <c r="P43" s="4"/>
      <c r="Q43" s="29"/>
      <c r="R43" s="4"/>
      <c r="S43" s="32"/>
      <c r="T43" s="29">
        <v>1</v>
      </c>
      <c r="U43" s="4"/>
      <c r="V43" s="29"/>
      <c r="W43" s="4">
        <v>1</v>
      </c>
      <c r="X43" s="4">
        <v>1</v>
      </c>
      <c r="Y43" s="29"/>
      <c r="Z43" s="4"/>
      <c r="AA43" s="4" t="s">
        <v>81</v>
      </c>
      <c r="AB43" s="4" t="s">
        <v>81</v>
      </c>
      <c r="AC43" s="23" t="s">
        <v>178</v>
      </c>
      <c r="AD43" s="23" t="s">
        <v>72</v>
      </c>
      <c r="AE43" s="24" t="s">
        <v>83</v>
      </c>
      <c r="AF43" s="4" t="s">
        <v>74</v>
      </c>
      <c r="AG43" s="4" t="s">
        <v>76</v>
      </c>
      <c r="AH43" s="4" t="s">
        <v>84</v>
      </c>
      <c r="AI43" s="4">
        <v>1.98</v>
      </c>
      <c r="AJ43" s="4" t="s">
        <v>129</v>
      </c>
      <c r="AK43" s="64">
        <v>0</v>
      </c>
      <c r="AL43" s="67">
        <v>0.82499999999999574</v>
      </c>
      <c r="AM43" s="13">
        <v>40.069194688804203</v>
      </c>
      <c r="AN43" s="13">
        <v>71.109729863457346</v>
      </c>
      <c r="AO43" s="14">
        <v>4</v>
      </c>
      <c r="AP43" s="14">
        <v>4</v>
      </c>
      <c r="AQ43" s="13">
        <f>Table13[[#This Row],[Share of Domestic Debt (2023)]]-Table13[[#This Row],[Share of Domestic Debt (2005)]]</f>
        <v>31.040535174653144</v>
      </c>
      <c r="AR43" s="35" t="s">
        <v>104</v>
      </c>
      <c r="AS43" s="4" t="s">
        <v>77</v>
      </c>
      <c r="AT43" s="4">
        <v>1</v>
      </c>
      <c r="AU43" s="4">
        <v>33.700000000000003</v>
      </c>
      <c r="AV43" s="4">
        <v>1.6</v>
      </c>
      <c r="AW43" s="4">
        <v>45.7</v>
      </c>
      <c r="AX43" s="4">
        <v>12.4</v>
      </c>
      <c r="AY43" s="4">
        <v>0</v>
      </c>
      <c r="AZ43" s="4">
        <v>6.5</v>
      </c>
      <c r="BA43" s="34">
        <v>3.6875426974732806</v>
      </c>
      <c r="BB43" s="13">
        <v>10.613316613109218</v>
      </c>
      <c r="BC43" s="13">
        <v>19.013946065779699</v>
      </c>
      <c r="BD43" s="13">
        <v>15.873600808088497</v>
      </c>
      <c r="BE43" s="14">
        <v>3</v>
      </c>
      <c r="BF43" s="14">
        <v>4</v>
      </c>
      <c r="BG43" s="14">
        <v>2</v>
      </c>
      <c r="BH43" s="14">
        <v>4</v>
      </c>
      <c r="BI43" s="14" t="s">
        <v>95</v>
      </c>
    </row>
    <row r="44" spans="1:61" ht="16" x14ac:dyDescent="0.35">
      <c r="A44" t="s">
        <v>179</v>
      </c>
      <c r="C44" s="4">
        <v>1</v>
      </c>
      <c r="D44" s="4" t="s">
        <v>79</v>
      </c>
      <c r="E44" s="4"/>
      <c r="F44" s="4"/>
      <c r="G44" s="4"/>
      <c r="H44" s="4"/>
      <c r="I44" s="55"/>
      <c r="J44" s="56"/>
      <c r="K44" s="4">
        <v>1</v>
      </c>
      <c r="L44" s="4">
        <v>1</v>
      </c>
      <c r="M44" s="4">
        <v>1</v>
      </c>
      <c r="N44" s="4">
        <v>0</v>
      </c>
      <c r="O44" s="4">
        <v>0</v>
      </c>
      <c r="P44" s="4"/>
      <c r="Q44" s="29"/>
      <c r="R44" s="4"/>
      <c r="S44" s="32"/>
      <c r="T44" s="29">
        <v>1</v>
      </c>
      <c r="U44" s="4"/>
      <c r="V44" s="29"/>
      <c r="W44" s="4">
        <v>1</v>
      </c>
      <c r="X44" s="4">
        <v>2</v>
      </c>
      <c r="Y44" s="29" t="s">
        <v>70</v>
      </c>
      <c r="Z44" s="4"/>
      <c r="AA44" s="4" t="s">
        <v>81</v>
      </c>
      <c r="AB44" s="4" t="s">
        <v>81</v>
      </c>
      <c r="AC44" s="23" t="s">
        <v>132</v>
      </c>
      <c r="AD44" s="23" t="s">
        <v>72</v>
      </c>
      <c r="AE44" s="24" t="s">
        <v>115</v>
      </c>
      <c r="AF44" s="4" t="s">
        <v>84</v>
      </c>
      <c r="AG44" s="4">
        <v>3.27</v>
      </c>
      <c r="AH44" s="4" t="s">
        <v>98</v>
      </c>
      <c r="AI44" s="4">
        <v>3.37</v>
      </c>
      <c r="AJ44" s="4" t="s">
        <v>129</v>
      </c>
      <c r="AK44" s="64">
        <v>1.6</v>
      </c>
      <c r="AL44" s="67">
        <v>2.3700000000000045</v>
      </c>
      <c r="AM44" s="13">
        <v>27.592201119345191</v>
      </c>
      <c r="AN44" s="13">
        <v>55.037349173929961</v>
      </c>
      <c r="AO44" s="14">
        <v>3</v>
      </c>
      <c r="AP44" s="14">
        <v>3</v>
      </c>
      <c r="AQ44" s="13">
        <f>Table13[[#This Row],[Share of Domestic Debt (2023)]]-Table13[[#This Row],[Share of Domestic Debt (2005)]]</f>
        <v>27.44514805458477</v>
      </c>
      <c r="AR44" s="35" t="s">
        <v>94</v>
      </c>
      <c r="AS44" s="4" t="s">
        <v>86</v>
      </c>
      <c r="AT44" s="4">
        <v>0</v>
      </c>
      <c r="AU44" s="4">
        <v>2.8</v>
      </c>
      <c r="AV44" s="4">
        <v>0</v>
      </c>
      <c r="AW44" s="4">
        <v>8.3000000000000007</v>
      </c>
      <c r="AX44" s="4">
        <v>48.6</v>
      </c>
      <c r="AY44" s="4">
        <v>0</v>
      </c>
      <c r="AZ44" s="4">
        <v>40.200000000000003</v>
      </c>
      <c r="BA44" s="34">
        <v>7.0922173133264863</v>
      </c>
      <c r="BB44" s="13">
        <v>7.5230581403611207</v>
      </c>
      <c r="BC44" s="13">
        <v>22.694186830841968</v>
      </c>
      <c r="BD44" s="13">
        <v>8.8370542567442989</v>
      </c>
      <c r="BE44" s="14">
        <v>3</v>
      </c>
      <c r="BF44" s="14">
        <v>3</v>
      </c>
      <c r="BG44" s="14">
        <v>3</v>
      </c>
      <c r="BH44" s="14">
        <v>4</v>
      </c>
      <c r="BI44" s="14" t="s">
        <v>95</v>
      </c>
    </row>
    <row r="45" spans="1:61" ht="16" x14ac:dyDescent="0.35">
      <c r="A45" t="s">
        <v>180</v>
      </c>
      <c r="C45" s="4">
        <v>1</v>
      </c>
      <c r="D45" s="4" t="s">
        <v>138</v>
      </c>
      <c r="E45" s="4"/>
      <c r="F45" s="4"/>
      <c r="G45" s="4"/>
      <c r="H45" s="4"/>
      <c r="I45" s="55"/>
      <c r="J45" s="56"/>
      <c r="K45" s="4">
        <v>1</v>
      </c>
      <c r="L45" s="4"/>
      <c r="M45" s="4">
        <v>1</v>
      </c>
      <c r="N45" s="4">
        <v>0</v>
      </c>
      <c r="O45" s="4">
        <v>0</v>
      </c>
      <c r="P45" s="4"/>
      <c r="Q45" s="29">
        <v>1</v>
      </c>
      <c r="R45" s="4">
        <v>2004</v>
      </c>
      <c r="S45" s="32"/>
      <c r="T45" s="29"/>
      <c r="U45" s="4">
        <v>1</v>
      </c>
      <c r="V45" s="29"/>
      <c r="W45" s="4" t="s">
        <v>80</v>
      </c>
      <c r="X45" s="4">
        <v>3</v>
      </c>
      <c r="Y45" s="29" t="s">
        <v>91</v>
      </c>
      <c r="Z45" s="4"/>
      <c r="AA45" s="4" t="s">
        <v>91</v>
      </c>
      <c r="AB45" s="4" t="s">
        <v>91</v>
      </c>
      <c r="AC45" s="23" t="s">
        <v>181</v>
      </c>
      <c r="AD45" s="23" t="s">
        <v>72</v>
      </c>
      <c r="AE45" s="24" t="s">
        <v>93</v>
      </c>
      <c r="AF45" s="4" t="s">
        <v>84</v>
      </c>
      <c r="AG45" s="4">
        <v>3.71</v>
      </c>
      <c r="AH45" s="4" t="s">
        <v>84</v>
      </c>
      <c r="AI45" s="4">
        <v>3.23</v>
      </c>
      <c r="AJ45" s="4" t="s">
        <v>75</v>
      </c>
      <c r="AK45" s="64">
        <v>1.5</v>
      </c>
      <c r="AL45" s="67">
        <v>1.5</v>
      </c>
      <c r="AM45" s="13">
        <v>3.8571151720413184</v>
      </c>
      <c r="AN45" s="13">
        <v>4.3042439322716319</v>
      </c>
      <c r="AO45" s="14">
        <v>1</v>
      </c>
      <c r="AP45" s="14">
        <v>1</v>
      </c>
      <c r="AQ45" s="13">
        <f>Table13[[#This Row],[Share of Domestic Debt (2023)]]-Table13[[#This Row],[Share of Domestic Debt (2005)]]</f>
        <v>0.44712876023031356</v>
      </c>
      <c r="AR45" s="35" t="s">
        <v>99</v>
      </c>
      <c r="AS45" s="4" t="s">
        <v>86</v>
      </c>
      <c r="AT45" s="4">
        <v>0</v>
      </c>
      <c r="AU45" s="4">
        <v>0.4</v>
      </c>
      <c r="AV45" s="4">
        <v>0.3</v>
      </c>
      <c r="AW45" s="4">
        <v>22.2</v>
      </c>
      <c r="AX45" s="4">
        <v>13.1</v>
      </c>
      <c r="AY45" s="4">
        <v>0</v>
      </c>
      <c r="AZ45" s="4">
        <v>64.099999999999994</v>
      </c>
      <c r="BA45" s="34">
        <v>6.6386530474102008</v>
      </c>
      <c r="BB45" s="13">
        <v>6.4481822502495527</v>
      </c>
      <c r="BC45" s="13">
        <v>4.1258879058311555</v>
      </c>
      <c r="BD45" s="13">
        <v>6.1752603503472763</v>
      </c>
      <c r="BE45" s="14">
        <v>3</v>
      </c>
      <c r="BF45" s="14">
        <v>2</v>
      </c>
      <c r="BG45" s="14">
        <v>3</v>
      </c>
      <c r="BH45" s="14">
        <v>2</v>
      </c>
      <c r="BI45" s="14" t="s">
        <v>130</v>
      </c>
    </row>
    <row r="46" spans="1:61" ht="16" x14ac:dyDescent="0.35">
      <c r="A46" t="s">
        <v>182</v>
      </c>
      <c r="C46" s="4">
        <v>1</v>
      </c>
      <c r="D46" s="4" t="s">
        <v>89</v>
      </c>
      <c r="E46" s="4" t="s">
        <v>90</v>
      </c>
      <c r="F46" s="4"/>
      <c r="G46" s="4">
        <v>1</v>
      </c>
      <c r="H46" s="4"/>
      <c r="I46" s="55">
        <v>1</v>
      </c>
      <c r="J46" s="56">
        <v>1</v>
      </c>
      <c r="K46" s="4">
        <v>1</v>
      </c>
      <c r="L46" s="4">
        <v>1</v>
      </c>
      <c r="M46" s="4">
        <v>5</v>
      </c>
      <c r="N46" s="4">
        <v>1</v>
      </c>
      <c r="O46" s="4">
        <v>1</v>
      </c>
      <c r="P46" s="4">
        <v>1</v>
      </c>
      <c r="Q46" s="29">
        <v>1</v>
      </c>
      <c r="R46" s="4">
        <v>2003</v>
      </c>
      <c r="S46" s="32"/>
      <c r="T46" s="29">
        <v>1</v>
      </c>
      <c r="U46" s="4"/>
      <c r="V46" s="29"/>
      <c r="W46" s="4">
        <v>1</v>
      </c>
      <c r="X46" s="4">
        <v>1</v>
      </c>
      <c r="Y46" s="29" t="s">
        <v>70</v>
      </c>
      <c r="Z46" s="4"/>
      <c r="AA46" s="4" t="s">
        <v>91</v>
      </c>
      <c r="AB46" s="4" t="s">
        <v>91</v>
      </c>
      <c r="AC46" s="23" t="s">
        <v>132</v>
      </c>
      <c r="AD46" s="23" t="s">
        <v>72</v>
      </c>
      <c r="AE46" s="24" t="s">
        <v>115</v>
      </c>
      <c r="AF46" s="4" t="s">
        <v>84</v>
      </c>
      <c r="AG46" s="4">
        <v>3.48</v>
      </c>
      <c r="AH46" s="4" t="s">
        <v>84</v>
      </c>
      <c r="AI46" s="4">
        <v>3.36</v>
      </c>
      <c r="AJ46" s="4" t="s">
        <v>75</v>
      </c>
      <c r="AK46" s="64">
        <v>2</v>
      </c>
      <c r="AL46" s="67">
        <v>0</v>
      </c>
      <c r="AM46" s="13">
        <v>15.125270460633629</v>
      </c>
      <c r="AN46" s="13">
        <v>49.569727777220521</v>
      </c>
      <c r="AO46" s="14">
        <v>2</v>
      </c>
      <c r="AP46" s="14">
        <v>3</v>
      </c>
      <c r="AQ46" s="13">
        <f>Table13[[#This Row],[Share of Domestic Debt (2023)]]-Table13[[#This Row],[Share of Domestic Debt (2005)]]</f>
        <v>34.444457316586892</v>
      </c>
      <c r="AR46" s="35" t="s">
        <v>104</v>
      </c>
      <c r="AS46" s="4" t="s">
        <v>86</v>
      </c>
      <c r="AT46" s="4">
        <v>1</v>
      </c>
      <c r="AU46" s="4">
        <v>10.5</v>
      </c>
      <c r="AV46" s="4">
        <v>1.8</v>
      </c>
      <c r="AW46" s="4">
        <v>12.2</v>
      </c>
      <c r="AX46" s="4">
        <v>40.299999999999997</v>
      </c>
      <c r="AY46" s="4">
        <v>0</v>
      </c>
      <c r="AZ46" s="4">
        <v>35.200000000000003</v>
      </c>
      <c r="BA46" s="34">
        <v>3.0417812578812717</v>
      </c>
      <c r="BB46" s="13">
        <v>3.1354004512213618</v>
      </c>
      <c r="BC46" s="13">
        <v>8.6216496071261979</v>
      </c>
      <c r="BD46" s="13">
        <v>12.461026722278143</v>
      </c>
      <c r="BE46" s="14">
        <v>1</v>
      </c>
      <c r="BF46" s="14">
        <v>3</v>
      </c>
      <c r="BG46" s="14">
        <v>2</v>
      </c>
      <c r="BH46" s="14">
        <v>3</v>
      </c>
      <c r="BI46" s="14" t="s">
        <v>95</v>
      </c>
    </row>
    <row r="47" spans="1:61" ht="16" x14ac:dyDescent="0.35">
      <c r="A47" t="s">
        <v>183</v>
      </c>
      <c r="C47" s="4">
        <v>1</v>
      </c>
      <c r="D47" s="4" t="s">
        <v>79</v>
      </c>
      <c r="E47" s="4"/>
      <c r="F47" s="4">
        <v>1</v>
      </c>
      <c r="G47" s="4">
        <v>1</v>
      </c>
      <c r="H47" s="4"/>
      <c r="I47" s="55"/>
      <c r="J47" s="56"/>
      <c r="K47" s="4">
        <v>1</v>
      </c>
      <c r="L47" s="4">
        <v>1</v>
      </c>
      <c r="M47" s="4">
        <v>1</v>
      </c>
      <c r="N47" s="4">
        <v>0</v>
      </c>
      <c r="O47" s="4">
        <v>0</v>
      </c>
      <c r="P47" s="4">
        <v>1</v>
      </c>
      <c r="Q47" s="29"/>
      <c r="R47" s="4"/>
      <c r="S47" s="32"/>
      <c r="T47" s="29">
        <v>1</v>
      </c>
      <c r="U47" s="4"/>
      <c r="V47" s="29">
        <v>1</v>
      </c>
      <c r="W47" s="4" t="s">
        <v>80</v>
      </c>
      <c r="X47" s="4">
        <v>3</v>
      </c>
      <c r="Y47" s="29" t="s">
        <v>91</v>
      </c>
      <c r="Z47" s="4"/>
      <c r="AA47" s="4" t="s">
        <v>70</v>
      </c>
      <c r="AB47" s="4" t="s">
        <v>70</v>
      </c>
      <c r="AC47" s="23" t="s">
        <v>92</v>
      </c>
      <c r="AD47" s="23" t="s">
        <v>72</v>
      </c>
      <c r="AE47" s="24" t="s">
        <v>111</v>
      </c>
      <c r="AF47" s="4" t="s">
        <v>84</v>
      </c>
      <c r="AG47" s="4">
        <v>3.3</v>
      </c>
      <c r="AH47" s="4" t="s">
        <v>74</v>
      </c>
      <c r="AI47" s="4">
        <v>2.85</v>
      </c>
      <c r="AJ47" s="4" t="s">
        <v>103</v>
      </c>
      <c r="AK47" s="64">
        <v>8</v>
      </c>
      <c r="AL47" s="67">
        <v>0</v>
      </c>
      <c r="AM47" s="13">
        <v>45.533832226826952</v>
      </c>
      <c r="AN47" s="13">
        <v>54.098568581285264</v>
      </c>
      <c r="AO47" s="14">
        <v>4</v>
      </c>
      <c r="AP47" s="14">
        <v>3</v>
      </c>
      <c r="AQ47" s="13">
        <f>Table13[[#This Row],[Share of Domestic Debt (2023)]]-Table13[[#This Row],[Share of Domestic Debt (2005)]]</f>
        <v>8.5647363544583115</v>
      </c>
      <c r="AR47" s="35" t="s">
        <v>85</v>
      </c>
      <c r="AS47" s="4" t="s">
        <v>86</v>
      </c>
      <c r="AT47" s="4">
        <v>1</v>
      </c>
      <c r="AU47" s="4">
        <v>18.899999999999999</v>
      </c>
      <c r="AV47" s="4">
        <v>12.8</v>
      </c>
      <c r="AW47" s="4">
        <v>13.9</v>
      </c>
      <c r="AX47" s="4">
        <v>11.9</v>
      </c>
      <c r="AY47" s="4">
        <v>0</v>
      </c>
      <c r="AZ47" s="4">
        <v>42.4</v>
      </c>
      <c r="BA47" s="34">
        <v>3.1310306979317444</v>
      </c>
      <c r="BB47" s="13">
        <v>6.5025991297183907</v>
      </c>
      <c r="BC47" s="13">
        <v>5.5928320843563109</v>
      </c>
      <c r="BD47" s="13">
        <v>14.494595682825562</v>
      </c>
      <c r="BE47" s="14">
        <v>3</v>
      </c>
      <c r="BF47" s="14">
        <v>3</v>
      </c>
      <c r="BG47" s="14">
        <v>2</v>
      </c>
      <c r="BH47" s="14">
        <v>2</v>
      </c>
      <c r="BI47" s="14" t="s">
        <v>113</v>
      </c>
    </row>
    <row r="48" spans="1:61" ht="16" x14ac:dyDescent="0.35">
      <c r="A48" t="s">
        <v>184</v>
      </c>
      <c r="C48" s="4">
        <v>1</v>
      </c>
      <c r="D48" s="4" t="s">
        <v>89</v>
      </c>
      <c r="E48" s="4" t="s">
        <v>107</v>
      </c>
      <c r="F48" s="4"/>
      <c r="G48" s="4"/>
      <c r="H48" s="4"/>
      <c r="I48" s="55">
        <v>1</v>
      </c>
      <c r="J48" s="56">
        <v>1</v>
      </c>
      <c r="K48" s="4">
        <v>1</v>
      </c>
      <c r="L48" s="4"/>
      <c r="M48" s="4">
        <v>3</v>
      </c>
      <c r="N48" s="4">
        <v>1</v>
      </c>
      <c r="O48" s="4">
        <v>1</v>
      </c>
      <c r="P48" s="4"/>
      <c r="Q48" s="29">
        <v>1</v>
      </c>
      <c r="R48" s="4">
        <v>2005</v>
      </c>
      <c r="S48" s="32"/>
      <c r="T48" s="29"/>
      <c r="U48" s="4">
        <v>1</v>
      </c>
      <c r="V48" s="29">
        <v>1</v>
      </c>
      <c r="W48" s="4">
        <v>1</v>
      </c>
      <c r="X48" s="4">
        <v>1</v>
      </c>
      <c r="Y48" s="29" t="s">
        <v>70</v>
      </c>
      <c r="Z48" s="4"/>
      <c r="AA48" s="4" t="s">
        <v>91</v>
      </c>
      <c r="AB48" s="4" t="s">
        <v>91</v>
      </c>
      <c r="AC48" s="23" t="s">
        <v>110</v>
      </c>
      <c r="AD48" s="23" t="s">
        <v>72</v>
      </c>
      <c r="AE48" s="24" t="s">
        <v>185</v>
      </c>
      <c r="AF48" s="4" t="s">
        <v>84</v>
      </c>
      <c r="AG48" s="4">
        <v>3.84</v>
      </c>
      <c r="AH48" s="4" t="s">
        <v>98</v>
      </c>
      <c r="AI48" s="4">
        <v>4.12</v>
      </c>
      <c r="AJ48" s="4" t="s">
        <v>129</v>
      </c>
      <c r="AK48" s="64">
        <v>0.75</v>
      </c>
      <c r="AL48" s="67">
        <v>0.32500000000000284</v>
      </c>
      <c r="AM48" s="13">
        <v>18.820008223482091</v>
      </c>
      <c r="AN48" s="13">
        <v>13.326125035451469</v>
      </c>
      <c r="AO48" s="14">
        <v>2</v>
      </c>
      <c r="AP48" s="14">
        <v>1</v>
      </c>
      <c r="AQ48" s="13">
        <f>Table13[[#This Row],[Share of Domestic Debt (2023)]]-Table13[[#This Row],[Share of Domestic Debt (2005)]]</f>
        <v>-5.4938831880306225</v>
      </c>
      <c r="AR48" s="35" t="s">
        <v>112</v>
      </c>
      <c r="AS48" s="4" t="s">
        <v>86</v>
      </c>
      <c r="AT48" s="4">
        <v>0</v>
      </c>
      <c r="AU48" s="4">
        <v>5.3</v>
      </c>
      <c r="AV48" s="4">
        <v>16.7</v>
      </c>
      <c r="AW48" s="4">
        <v>7.9</v>
      </c>
      <c r="AX48" s="4">
        <v>44.9</v>
      </c>
      <c r="AY48" s="4">
        <v>0.2</v>
      </c>
      <c r="AZ48" s="4">
        <v>25</v>
      </c>
      <c r="BA48" s="34">
        <v>6.2758801454497029</v>
      </c>
      <c r="BB48" s="13">
        <v>3.3080730570540728</v>
      </c>
      <c r="BC48" s="13">
        <v>8.9603904101591283</v>
      </c>
      <c r="BD48" s="13">
        <v>11.233015720192572</v>
      </c>
      <c r="BE48" s="14">
        <v>2</v>
      </c>
      <c r="BF48" s="14">
        <v>3</v>
      </c>
      <c r="BG48" s="14">
        <v>3</v>
      </c>
      <c r="BH48" s="14">
        <v>3</v>
      </c>
      <c r="BI48" s="14" t="s">
        <v>113</v>
      </c>
    </row>
    <row r="49" spans="1:61" ht="16" x14ac:dyDescent="0.35">
      <c r="A49" t="s">
        <v>186</v>
      </c>
      <c r="C49" s="4"/>
      <c r="D49" s="4" t="s">
        <v>79</v>
      </c>
      <c r="E49" s="4"/>
      <c r="F49" s="4"/>
      <c r="G49" s="4"/>
      <c r="H49" s="4">
        <v>1</v>
      </c>
      <c r="I49" s="55"/>
      <c r="J49" s="56"/>
      <c r="K49" s="4">
        <v>0</v>
      </c>
      <c r="L49" s="4"/>
      <c r="M49" s="4"/>
      <c r="N49" s="4">
        <v>0</v>
      </c>
      <c r="O49" s="4">
        <v>0</v>
      </c>
      <c r="P49" s="4"/>
      <c r="Q49" s="29"/>
      <c r="R49" s="4"/>
      <c r="S49" s="32"/>
      <c r="T49" s="29">
        <v>1</v>
      </c>
      <c r="U49" s="4"/>
      <c r="V49" s="29"/>
      <c r="W49" s="4" t="s">
        <v>126</v>
      </c>
      <c r="X49" s="4">
        <v>4</v>
      </c>
      <c r="Y49" s="29" t="s">
        <v>81</v>
      </c>
      <c r="Z49" s="4"/>
      <c r="AA49" s="4" t="s">
        <v>91</v>
      </c>
      <c r="AB49" s="4" t="s">
        <v>91</v>
      </c>
      <c r="AC49" s="23" t="s">
        <v>92</v>
      </c>
      <c r="AD49" s="23" t="s">
        <v>72</v>
      </c>
      <c r="AE49" s="24" t="s">
        <v>111</v>
      </c>
      <c r="AF49" s="4" t="s">
        <v>98</v>
      </c>
      <c r="AG49" s="4">
        <v>4.0599999999999996</v>
      </c>
      <c r="AH49" s="4" t="s">
        <v>98</v>
      </c>
      <c r="AI49" s="4">
        <v>3.96</v>
      </c>
      <c r="AJ49" s="4" t="s">
        <v>75</v>
      </c>
      <c r="AK49" s="64">
        <v>2</v>
      </c>
      <c r="AL49" s="67">
        <v>0</v>
      </c>
      <c r="AM49" s="13">
        <v>0</v>
      </c>
      <c r="AN49" s="13">
        <v>4.4182767561836158</v>
      </c>
      <c r="AO49" s="14">
        <v>1</v>
      </c>
      <c r="AP49" s="14">
        <v>1</v>
      </c>
      <c r="AQ49" s="13">
        <f>Table13[[#This Row],[Share of Domestic Debt (2023)]]-Table13[[#This Row],[Share of Domestic Debt (2005)]]</f>
        <v>4.4182767561836158</v>
      </c>
      <c r="AR49" s="35" t="s">
        <v>99</v>
      </c>
      <c r="AS49" s="4" t="s">
        <v>86</v>
      </c>
      <c r="AT49" s="4">
        <v>1</v>
      </c>
      <c r="AU49" s="4">
        <v>39.9</v>
      </c>
      <c r="AV49" s="4">
        <v>0</v>
      </c>
      <c r="AW49" s="4">
        <v>7.7</v>
      </c>
      <c r="AX49" s="4">
        <v>27</v>
      </c>
      <c r="AY49" s="4">
        <v>0</v>
      </c>
      <c r="AZ49" s="4">
        <v>25.5</v>
      </c>
      <c r="BA49" s="34" t="s">
        <v>76</v>
      </c>
      <c r="BB49" s="13" t="s">
        <v>76</v>
      </c>
      <c r="BC49" s="13" t="s">
        <v>76</v>
      </c>
      <c r="BD49" s="13" t="s">
        <v>76</v>
      </c>
      <c r="BE49" s="14" t="s">
        <v>76</v>
      </c>
      <c r="BF49" s="14" t="s">
        <v>76</v>
      </c>
      <c r="BG49" s="14" t="s">
        <v>76</v>
      </c>
      <c r="BH49" s="14" t="s">
        <v>76</v>
      </c>
      <c r="BI49" s="14" t="s">
        <v>76</v>
      </c>
    </row>
    <row r="50" spans="1:61" ht="16" x14ac:dyDescent="0.35">
      <c r="A50" t="s">
        <v>187</v>
      </c>
      <c r="C50" s="4">
        <v>1</v>
      </c>
      <c r="D50" s="4" t="s">
        <v>89</v>
      </c>
      <c r="E50" s="4"/>
      <c r="F50" s="4"/>
      <c r="G50" s="4">
        <v>1</v>
      </c>
      <c r="H50" s="4">
        <v>1</v>
      </c>
      <c r="I50" s="55"/>
      <c r="J50" s="56"/>
      <c r="K50" s="4">
        <v>1</v>
      </c>
      <c r="L50" s="4">
        <v>1</v>
      </c>
      <c r="M50" s="4">
        <v>6</v>
      </c>
      <c r="N50" s="4">
        <v>1</v>
      </c>
      <c r="O50" s="4">
        <v>1</v>
      </c>
      <c r="P50" s="4"/>
      <c r="Q50" s="29">
        <v>1</v>
      </c>
      <c r="R50" s="4">
        <v>2007</v>
      </c>
      <c r="S50" s="32"/>
      <c r="T50" s="29">
        <v>1</v>
      </c>
      <c r="U50" s="4"/>
      <c r="V50" s="29"/>
      <c r="W50" s="4" t="s">
        <v>126</v>
      </c>
      <c r="X50" s="4">
        <v>3</v>
      </c>
      <c r="Y50" s="29" t="s">
        <v>70</v>
      </c>
      <c r="Z50" s="4" t="s">
        <v>91</v>
      </c>
      <c r="AA50" s="4" t="s">
        <v>127</v>
      </c>
      <c r="AB50" s="4" t="s">
        <v>127</v>
      </c>
      <c r="AC50" s="23" t="s">
        <v>92</v>
      </c>
      <c r="AD50" s="23" t="s">
        <v>123</v>
      </c>
      <c r="AE50" s="24" t="s">
        <v>111</v>
      </c>
      <c r="AF50" s="4" t="s">
        <v>74</v>
      </c>
      <c r="AG50" s="4">
        <v>3.05</v>
      </c>
      <c r="AH50" s="4" t="s">
        <v>74</v>
      </c>
      <c r="AI50" s="4">
        <v>2.93</v>
      </c>
      <c r="AJ50" s="4" t="s">
        <v>75</v>
      </c>
      <c r="AK50" s="64">
        <v>1.7142857142857144</v>
      </c>
      <c r="AL50" s="67">
        <v>0</v>
      </c>
      <c r="AM50" s="13">
        <v>14.315261019491004</v>
      </c>
      <c r="AN50" s="13">
        <v>0</v>
      </c>
      <c r="AO50" s="14">
        <v>1</v>
      </c>
      <c r="AP50" s="14">
        <v>1</v>
      </c>
      <c r="AQ50" s="13">
        <f>Table13[[#This Row],[Share of Domestic Debt (2023)]]-Table13[[#This Row],[Share of Domestic Debt (2005)]]</f>
        <v>-14.315261019491004</v>
      </c>
      <c r="AR50" s="35" t="s">
        <v>112</v>
      </c>
      <c r="AS50" s="4" t="s">
        <v>77</v>
      </c>
      <c r="AT50" s="4">
        <v>0</v>
      </c>
      <c r="AU50" s="4">
        <v>3.3</v>
      </c>
      <c r="AV50" s="4">
        <v>3.5</v>
      </c>
      <c r="AW50" s="4">
        <v>73.7</v>
      </c>
      <c r="AX50" s="4">
        <v>4.5999999999999996</v>
      </c>
      <c r="AY50" s="4">
        <v>0.3</v>
      </c>
      <c r="AZ50" s="4">
        <v>14.4</v>
      </c>
      <c r="BA50" s="34">
        <v>20.036670519540106</v>
      </c>
      <c r="BB50" s="13">
        <v>3.6220910795569177</v>
      </c>
      <c r="BC50" s="13">
        <v>5.8729805990901456</v>
      </c>
      <c r="BD50" s="13">
        <v>4.0824422960704601</v>
      </c>
      <c r="BE50" s="14">
        <v>2</v>
      </c>
      <c r="BF50" s="14">
        <v>2</v>
      </c>
      <c r="BG50" s="14">
        <v>4</v>
      </c>
      <c r="BH50" s="14">
        <v>3</v>
      </c>
      <c r="BI50" s="14" t="s">
        <v>130</v>
      </c>
    </row>
    <row r="51" spans="1:61" ht="16" x14ac:dyDescent="0.35">
      <c r="A51" t="s">
        <v>188</v>
      </c>
      <c r="B51">
        <v>1</v>
      </c>
      <c r="C51" s="4">
        <v>1</v>
      </c>
      <c r="D51" s="4" t="s">
        <v>89</v>
      </c>
      <c r="E51" s="4" t="s">
        <v>90</v>
      </c>
      <c r="F51" s="4"/>
      <c r="G51" s="4"/>
      <c r="H51" s="4"/>
      <c r="I51" s="55">
        <v>1</v>
      </c>
      <c r="J51" s="56">
        <v>1</v>
      </c>
      <c r="K51" s="4">
        <v>1</v>
      </c>
      <c r="L51" s="4">
        <v>1</v>
      </c>
      <c r="M51" s="4">
        <v>2</v>
      </c>
      <c r="N51" s="4">
        <v>1</v>
      </c>
      <c r="O51" s="4">
        <v>0</v>
      </c>
      <c r="P51" s="4">
        <v>1</v>
      </c>
      <c r="Q51" s="29">
        <v>1</v>
      </c>
      <c r="R51" s="4">
        <v>2004</v>
      </c>
      <c r="S51" s="32"/>
      <c r="T51" s="29">
        <v>1</v>
      </c>
      <c r="U51" s="4"/>
      <c r="V51" s="29">
        <v>1</v>
      </c>
      <c r="W51" s="4" t="s">
        <v>80</v>
      </c>
      <c r="X51" s="4">
        <v>2</v>
      </c>
      <c r="Y51" s="29" t="s">
        <v>81</v>
      </c>
      <c r="Z51" s="4"/>
      <c r="AA51" s="4" t="s">
        <v>91</v>
      </c>
      <c r="AB51" s="4" t="s">
        <v>91</v>
      </c>
      <c r="AC51" s="23" t="s">
        <v>108</v>
      </c>
      <c r="AD51" s="23" t="s">
        <v>72</v>
      </c>
      <c r="AE51" s="24" t="s">
        <v>111</v>
      </c>
      <c r="AF51" s="4" t="s">
        <v>84</v>
      </c>
      <c r="AG51" s="4">
        <v>3.82</v>
      </c>
      <c r="AH51" s="4" t="s">
        <v>98</v>
      </c>
      <c r="AI51" s="4">
        <v>3.7</v>
      </c>
      <c r="AJ51" s="4" t="s">
        <v>129</v>
      </c>
      <c r="AK51" s="64">
        <v>0</v>
      </c>
      <c r="AL51" s="67">
        <v>2.1000000000000014</v>
      </c>
      <c r="AM51" s="13">
        <v>7.6299785291834752</v>
      </c>
      <c r="AN51" s="13">
        <v>33.234759835651332</v>
      </c>
      <c r="AO51" s="14">
        <v>1</v>
      </c>
      <c r="AP51" s="14">
        <v>2</v>
      </c>
      <c r="AQ51" s="13">
        <f>Table13[[#This Row],[Share of Domestic Debt (2023)]]-Table13[[#This Row],[Share of Domestic Debt (2005)]]</f>
        <v>25.604781306467856</v>
      </c>
      <c r="AR51" s="35" t="s">
        <v>94</v>
      </c>
      <c r="AS51" s="4" t="s">
        <v>86</v>
      </c>
      <c r="AT51" s="4">
        <v>0</v>
      </c>
      <c r="AU51" s="4">
        <v>10.3</v>
      </c>
      <c r="AV51" s="4">
        <v>29.6</v>
      </c>
      <c r="AW51" s="4">
        <v>15.2</v>
      </c>
      <c r="AX51" s="4">
        <v>24.7</v>
      </c>
      <c r="AY51" s="4">
        <v>0.8</v>
      </c>
      <c r="AZ51" s="4">
        <v>19.5</v>
      </c>
      <c r="BA51" s="34">
        <v>3.2962843863309796</v>
      </c>
      <c r="BB51" s="13">
        <v>3.8281721647892395</v>
      </c>
      <c r="BC51" s="13">
        <v>14.725608162717545</v>
      </c>
      <c r="BD51" s="13">
        <v>17.769238597424643</v>
      </c>
      <c r="BE51" s="14">
        <v>2</v>
      </c>
      <c r="BF51" s="14">
        <v>4</v>
      </c>
      <c r="BG51" s="14">
        <v>2</v>
      </c>
      <c r="BH51" s="14">
        <v>4</v>
      </c>
      <c r="BI51" s="14" t="s">
        <v>95</v>
      </c>
    </row>
    <row r="52" spans="1:61" ht="16" x14ac:dyDescent="0.35">
      <c r="A52" t="s">
        <v>189</v>
      </c>
      <c r="C52" s="4">
        <v>1</v>
      </c>
      <c r="D52" s="4" t="s">
        <v>89</v>
      </c>
      <c r="E52" s="4"/>
      <c r="F52" s="4">
        <v>1</v>
      </c>
      <c r="G52" s="4"/>
      <c r="H52" s="4"/>
      <c r="I52" s="55"/>
      <c r="J52" s="56"/>
      <c r="K52" s="4">
        <v>1</v>
      </c>
      <c r="L52" s="4">
        <v>1</v>
      </c>
      <c r="M52" s="4">
        <v>6</v>
      </c>
      <c r="N52" s="4">
        <v>1</v>
      </c>
      <c r="O52" s="4">
        <v>1</v>
      </c>
      <c r="P52" s="4"/>
      <c r="Q52" s="29">
        <v>1</v>
      </c>
      <c r="R52" s="4">
        <v>2006</v>
      </c>
      <c r="S52" s="32"/>
      <c r="T52" s="29">
        <v>1</v>
      </c>
      <c r="U52" s="4"/>
      <c r="V52" s="29"/>
      <c r="W52" s="4">
        <v>1</v>
      </c>
      <c r="X52" s="4">
        <v>1</v>
      </c>
      <c r="Y52" s="29" t="s">
        <v>81</v>
      </c>
      <c r="Z52" s="4" t="s">
        <v>91</v>
      </c>
      <c r="AA52" s="4" t="s">
        <v>70</v>
      </c>
      <c r="AB52" s="4" t="s">
        <v>70</v>
      </c>
      <c r="AC52" s="23" t="s">
        <v>164</v>
      </c>
      <c r="AD52" s="23" t="s">
        <v>72</v>
      </c>
      <c r="AE52" s="24" t="s">
        <v>111</v>
      </c>
      <c r="AF52" s="4" t="s">
        <v>74</v>
      </c>
      <c r="AG52" s="4">
        <v>3.27</v>
      </c>
      <c r="AH52" s="4" t="s">
        <v>84</v>
      </c>
      <c r="AI52" s="4">
        <v>3.2</v>
      </c>
      <c r="AJ52" s="4" t="s">
        <v>129</v>
      </c>
      <c r="AK52" s="64">
        <v>7</v>
      </c>
      <c r="AL52" s="67">
        <v>0</v>
      </c>
      <c r="AM52" s="13">
        <v>26.428415000436914</v>
      </c>
      <c r="AN52" s="13">
        <v>54.405025311879754</v>
      </c>
      <c r="AO52" s="14">
        <v>3</v>
      </c>
      <c r="AP52" s="14">
        <v>3</v>
      </c>
      <c r="AQ52" s="13">
        <f>Table13[[#This Row],[Share of Domestic Debt (2023)]]-Table13[[#This Row],[Share of Domestic Debt (2005)]]</f>
        <v>27.97661031144284</v>
      </c>
      <c r="AR52" s="35" t="s">
        <v>94</v>
      </c>
      <c r="AS52" s="4" t="s">
        <v>86</v>
      </c>
      <c r="AT52" s="4">
        <v>0</v>
      </c>
      <c r="AU52" s="4">
        <v>4.9000000000000004</v>
      </c>
      <c r="AV52" s="4">
        <v>16.100000000000001</v>
      </c>
      <c r="AW52" s="4">
        <v>12.5</v>
      </c>
      <c r="AX52" s="4">
        <v>28.6</v>
      </c>
      <c r="AY52" s="4">
        <v>0</v>
      </c>
      <c r="AZ52" s="4">
        <v>37.9</v>
      </c>
      <c r="BA52" s="34">
        <v>18.608447519898004</v>
      </c>
      <c r="BB52" s="13">
        <v>20.98257922034502</v>
      </c>
      <c r="BC52" s="13">
        <v>13.603157815672882</v>
      </c>
      <c r="BD52" s="13">
        <v>20.641352313466239</v>
      </c>
      <c r="BE52" s="14">
        <v>4</v>
      </c>
      <c r="BF52" s="14">
        <v>4</v>
      </c>
      <c r="BG52" s="14">
        <v>4</v>
      </c>
      <c r="BH52" s="14">
        <v>4</v>
      </c>
      <c r="BI52" s="14" t="s">
        <v>87</v>
      </c>
    </row>
    <row r="53" spans="1:61" ht="16" x14ac:dyDescent="0.35">
      <c r="A53" t="s">
        <v>190</v>
      </c>
      <c r="C53" s="4">
        <v>1</v>
      </c>
      <c r="D53" s="4" t="s">
        <v>79</v>
      </c>
      <c r="E53" s="4"/>
      <c r="F53" s="4">
        <v>1</v>
      </c>
      <c r="G53" s="4">
        <v>1</v>
      </c>
      <c r="H53" s="4">
        <v>1</v>
      </c>
      <c r="I53" s="55"/>
      <c r="J53" s="56"/>
      <c r="K53" s="4">
        <v>1</v>
      </c>
      <c r="L53" s="4"/>
      <c r="M53" s="4">
        <v>2</v>
      </c>
      <c r="N53" s="4">
        <v>1</v>
      </c>
      <c r="O53" s="4">
        <v>0</v>
      </c>
      <c r="P53" s="4"/>
      <c r="Q53" s="29"/>
      <c r="R53" s="4"/>
      <c r="S53" s="32"/>
      <c r="T53" s="29"/>
      <c r="U53" s="4">
        <v>1</v>
      </c>
      <c r="V53" s="29"/>
      <c r="W53" s="4" t="s">
        <v>80</v>
      </c>
      <c r="X53" s="4">
        <v>3</v>
      </c>
      <c r="Y53" s="29" t="s">
        <v>70</v>
      </c>
      <c r="Z53" s="4"/>
      <c r="AA53" s="4" t="s">
        <v>91</v>
      </c>
      <c r="AB53" s="4" t="s">
        <v>91</v>
      </c>
      <c r="AC53" s="23" t="s">
        <v>168</v>
      </c>
      <c r="AD53" s="23" t="s">
        <v>72</v>
      </c>
      <c r="AE53" s="24" t="s">
        <v>115</v>
      </c>
      <c r="AF53" s="4" t="s">
        <v>74</v>
      </c>
      <c r="AG53" s="4">
        <v>2.96</v>
      </c>
      <c r="AH53" s="4" t="s">
        <v>74</v>
      </c>
      <c r="AI53" s="4">
        <v>2.92</v>
      </c>
      <c r="AJ53" s="4" t="s">
        <v>75</v>
      </c>
      <c r="AK53" s="64">
        <v>2</v>
      </c>
      <c r="AL53" s="67">
        <v>0</v>
      </c>
      <c r="AM53" s="13">
        <v>31.902115703808718</v>
      </c>
      <c r="AN53" s="13">
        <v>41.565167989588744</v>
      </c>
      <c r="AO53" s="14">
        <v>3</v>
      </c>
      <c r="AP53" s="14">
        <v>2</v>
      </c>
      <c r="AQ53" s="13">
        <f>Table13[[#This Row],[Share of Domestic Debt (2023)]]-Table13[[#This Row],[Share of Domestic Debt (2005)]]</f>
        <v>9.6630522857800258</v>
      </c>
      <c r="AR53" s="35" t="s">
        <v>85</v>
      </c>
      <c r="AS53" s="4" t="s">
        <v>86</v>
      </c>
      <c r="AT53" s="4">
        <v>0</v>
      </c>
      <c r="AU53" s="4">
        <v>0.7</v>
      </c>
      <c r="AV53" s="4">
        <v>0</v>
      </c>
      <c r="AW53" s="4">
        <v>11.7</v>
      </c>
      <c r="AX53" s="4">
        <v>37.9</v>
      </c>
      <c r="AY53" s="4">
        <v>0</v>
      </c>
      <c r="AZ53" s="4">
        <v>49.6</v>
      </c>
      <c r="BA53" s="34">
        <v>2.4900815584064317</v>
      </c>
      <c r="BB53" s="13">
        <v>2.3834019257417904</v>
      </c>
      <c r="BC53" s="13">
        <v>1.469869329379208</v>
      </c>
      <c r="BD53" s="13">
        <v>1.7049343196460385</v>
      </c>
      <c r="BE53" s="14">
        <v>1</v>
      </c>
      <c r="BF53" s="14">
        <v>1</v>
      </c>
      <c r="BG53" s="14">
        <v>1</v>
      </c>
      <c r="BH53" s="14">
        <v>1</v>
      </c>
      <c r="BI53" s="14" t="s">
        <v>99</v>
      </c>
    </row>
    <row r="54" spans="1:61" ht="16" x14ac:dyDescent="0.35">
      <c r="A54" t="s">
        <v>191</v>
      </c>
      <c r="C54" s="4">
        <v>1</v>
      </c>
      <c r="D54" s="4" t="s">
        <v>69</v>
      </c>
      <c r="E54" s="4"/>
      <c r="F54" s="4">
        <v>1</v>
      </c>
      <c r="G54" s="4">
        <v>1</v>
      </c>
      <c r="H54" s="4"/>
      <c r="I54" s="55"/>
      <c r="J54" s="56"/>
      <c r="K54" s="4">
        <v>1</v>
      </c>
      <c r="L54" s="4">
        <v>1</v>
      </c>
      <c r="M54" s="4">
        <v>2</v>
      </c>
      <c r="N54" s="4">
        <v>1</v>
      </c>
      <c r="O54" s="4">
        <v>0</v>
      </c>
      <c r="P54" s="4"/>
      <c r="Q54" s="29">
        <v>1</v>
      </c>
      <c r="R54" s="4">
        <v>2023</v>
      </c>
      <c r="S54" s="32"/>
      <c r="T54" s="29"/>
      <c r="U54" s="4">
        <v>1</v>
      </c>
      <c r="V54" s="29"/>
      <c r="W54" s="4">
        <v>1</v>
      </c>
      <c r="X54" s="4">
        <v>1</v>
      </c>
      <c r="Y54" s="29"/>
      <c r="Z54" s="4" t="s">
        <v>91</v>
      </c>
      <c r="AA54" s="4" t="s">
        <v>91</v>
      </c>
      <c r="AB54" s="4" t="s">
        <v>91</v>
      </c>
      <c r="AC54" s="23" t="s">
        <v>92</v>
      </c>
      <c r="AD54" s="23" t="s">
        <v>72</v>
      </c>
      <c r="AE54" s="24" t="s">
        <v>115</v>
      </c>
      <c r="AF54" s="4" t="s">
        <v>76</v>
      </c>
      <c r="AG54" s="4" t="s">
        <v>76</v>
      </c>
      <c r="AH54" s="4" t="s">
        <v>74</v>
      </c>
      <c r="AI54" s="4">
        <v>2.23</v>
      </c>
      <c r="AJ54" s="4" t="s">
        <v>76</v>
      </c>
      <c r="AK54" s="64">
        <v>0</v>
      </c>
      <c r="AL54" s="67">
        <v>0</v>
      </c>
      <c r="AM54" s="13" t="s">
        <v>76</v>
      </c>
      <c r="AN54" s="13" t="s">
        <v>76</v>
      </c>
      <c r="AO54" s="14" t="s">
        <v>76</v>
      </c>
      <c r="AP54" s="14" t="s">
        <v>76</v>
      </c>
      <c r="AQ54" s="13" t="s">
        <v>76</v>
      </c>
      <c r="AR54" s="35" t="s">
        <v>76</v>
      </c>
      <c r="AS54" s="4" t="s">
        <v>77</v>
      </c>
      <c r="AT54" s="4">
        <v>0</v>
      </c>
      <c r="AU54" s="4">
        <v>0</v>
      </c>
      <c r="AV54" s="4">
        <v>0</v>
      </c>
      <c r="AW54" s="4">
        <v>70.8</v>
      </c>
      <c r="AX54" s="4">
        <v>15.4</v>
      </c>
      <c r="AY54" s="4">
        <v>0</v>
      </c>
      <c r="AZ54" s="4">
        <v>13.8</v>
      </c>
      <c r="BA54" s="34" t="s">
        <v>76</v>
      </c>
      <c r="BB54" s="13" t="s">
        <v>76</v>
      </c>
      <c r="BC54" s="13">
        <v>0.51895979670045034</v>
      </c>
      <c r="BD54" s="13">
        <v>1.3907031277156716</v>
      </c>
      <c r="BE54" s="14" t="s">
        <v>76</v>
      </c>
      <c r="BF54" s="14">
        <v>1</v>
      </c>
      <c r="BG54" s="14" t="s">
        <v>76</v>
      </c>
      <c r="BH54" s="14">
        <v>1</v>
      </c>
      <c r="BI54" s="14" t="s">
        <v>76</v>
      </c>
    </row>
    <row r="55" spans="1:61" ht="16" customHeight="1" x14ac:dyDescent="0.35">
      <c r="A55" t="s">
        <v>192</v>
      </c>
      <c r="C55" s="4">
        <v>1</v>
      </c>
      <c r="D55" s="4" t="s">
        <v>89</v>
      </c>
      <c r="E55" s="4" t="s">
        <v>107</v>
      </c>
      <c r="F55" s="4">
        <v>1</v>
      </c>
      <c r="G55" s="4">
        <v>1</v>
      </c>
      <c r="H55" s="4"/>
      <c r="I55" s="55">
        <v>1</v>
      </c>
      <c r="J55" s="56">
        <v>1</v>
      </c>
      <c r="K55" s="4">
        <v>0</v>
      </c>
      <c r="L55" s="4"/>
      <c r="M55" s="4"/>
      <c r="N55" s="4">
        <v>0</v>
      </c>
      <c r="O55" s="4">
        <v>0</v>
      </c>
      <c r="P55" s="4"/>
      <c r="Q55" s="29"/>
      <c r="R55" s="4"/>
      <c r="S55" s="32">
        <v>1</v>
      </c>
      <c r="T55" s="29"/>
      <c r="U55" s="4">
        <v>1</v>
      </c>
      <c r="V55" s="29"/>
      <c r="W55" s="4">
        <v>1</v>
      </c>
      <c r="X55" s="4">
        <v>1</v>
      </c>
      <c r="Y55" s="29"/>
      <c r="Z55" s="4"/>
      <c r="AA55" s="4" t="s">
        <v>70</v>
      </c>
      <c r="AB55" s="4" t="s">
        <v>70</v>
      </c>
      <c r="AC55" s="23" t="s">
        <v>82</v>
      </c>
      <c r="AD55" s="23" t="s">
        <v>123</v>
      </c>
      <c r="AE55" s="24" t="s">
        <v>111</v>
      </c>
      <c r="AF55" s="4" t="s">
        <v>74</v>
      </c>
      <c r="AG55" s="4">
        <v>2.12</v>
      </c>
      <c r="AH55" s="4" t="s">
        <v>74</v>
      </c>
      <c r="AI55" s="4">
        <v>1.67</v>
      </c>
      <c r="AJ55" s="4" t="s">
        <v>75</v>
      </c>
      <c r="AK55" s="64">
        <v>2</v>
      </c>
      <c r="AL55" s="67">
        <v>0</v>
      </c>
      <c r="AM55" s="13" t="s">
        <v>76</v>
      </c>
      <c r="AN55" s="13" t="s">
        <v>76</v>
      </c>
      <c r="AO55" s="14" t="s">
        <v>76</v>
      </c>
      <c r="AP55" s="14" t="s">
        <v>76</v>
      </c>
      <c r="AQ55" s="13" t="s">
        <v>76</v>
      </c>
      <c r="AR55" s="35" t="s">
        <v>76</v>
      </c>
      <c r="AS55" s="4" t="s">
        <v>76</v>
      </c>
      <c r="AT55" s="4" t="s">
        <v>76</v>
      </c>
      <c r="AU55" s="4" t="s">
        <v>76</v>
      </c>
      <c r="AV55" s="4" t="s">
        <v>76</v>
      </c>
      <c r="AW55" s="4" t="s">
        <v>76</v>
      </c>
      <c r="AX55" s="4" t="s">
        <v>76</v>
      </c>
      <c r="AY55" s="4" t="s">
        <v>76</v>
      </c>
      <c r="AZ55" s="4" t="s">
        <v>76</v>
      </c>
      <c r="BA55" s="34" t="s">
        <v>76</v>
      </c>
      <c r="BB55" s="13" t="s">
        <v>76</v>
      </c>
      <c r="BC55" s="13">
        <v>2.2256252775101335</v>
      </c>
      <c r="BD55" s="13">
        <v>4.5297174799335975</v>
      </c>
      <c r="BE55" s="14" t="s">
        <v>76</v>
      </c>
      <c r="BF55" s="14">
        <v>2</v>
      </c>
      <c r="BG55" s="14" t="s">
        <v>76</v>
      </c>
      <c r="BH55" s="14">
        <v>1</v>
      </c>
      <c r="BI55" s="14" t="s">
        <v>76</v>
      </c>
    </row>
    <row r="56" spans="1:61" ht="16" x14ac:dyDescent="0.25">
      <c r="A56" t="s">
        <v>193</v>
      </c>
      <c r="C56" s="4"/>
      <c r="D56" s="4" t="s">
        <v>138</v>
      </c>
      <c r="E56" s="4" t="s">
        <v>139</v>
      </c>
      <c r="F56" s="4"/>
      <c r="G56" s="4"/>
      <c r="H56" s="4">
        <v>1</v>
      </c>
      <c r="I56" s="55">
        <v>1</v>
      </c>
      <c r="J56" s="56"/>
      <c r="K56" s="4">
        <v>0</v>
      </c>
      <c r="L56" s="4"/>
      <c r="M56" s="4"/>
      <c r="N56" s="4">
        <v>0</v>
      </c>
      <c r="O56" s="4">
        <v>0</v>
      </c>
      <c r="P56" s="4"/>
      <c r="Q56" s="29"/>
      <c r="R56" s="4"/>
      <c r="S56" s="32"/>
      <c r="T56" s="29">
        <v>1</v>
      </c>
      <c r="U56" s="4"/>
      <c r="V56" s="29"/>
      <c r="W56" s="4" t="s">
        <v>126</v>
      </c>
      <c r="X56" s="4">
        <v>4</v>
      </c>
      <c r="Y56" s="29"/>
      <c r="Z56" s="4"/>
      <c r="AA56" s="25" t="s">
        <v>142</v>
      </c>
      <c r="AB56" s="25" t="s">
        <v>70</v>
      </c>
      <c r="AC56" s="26" t="s">
        <v>194</v>
      </c>
      <c r="AD56" s="26" t="s">
        <v>142</v>
      </c>
      <c r="AE56" s="27" t="s">
        <v>76</v>
      </c>
      <c r="AF56" s="4" t="s">
        <v>76</v>
      </c>
      <c r="AG56" s="4">
        <v>3.78</v>
      </c>
      <c r="AH56" s="4" t="s">
        <v>76</v>
      </c>
      <c r="AI56" s="4">
        <v>3.72</v>
      </c>
      <c r="AJ56" s="4" t="s">
        <v>76</v>
      </c>
      <c r="AK56" s="62" t="s">
        <v>76</v>
      </c>
      <c r="AL56" s="68" t="s">
        <v>76</v>
      </c>
      <c r="AM56" s="13">
        <v>58.278867664653696</v>
      </c>
      <c r="AN56" s="13">
        <v>49.345253164960511</v>
      </c>
      <c r="AO56" s="14">
        <v>4</v>
      </c>
      <c r="AP56" s="14">
        <v>3</v>
      </c>
      <c r="AQ56" s="13">
        <f>Table13[[#This Row],[Share of Domestic Debt (2023)]]-Table13[[#This Row],[Share of Domestic Debt (2005)]]</f>
        <v>-8.933614499693185</v>
      </c>
      <c r="AR56" s="35" t="s">
        <v>112</v>
      </c>
      <c r="AS56" s="4" t="s">
        <v>86</v>
      </c>
      <c r="AT56" s="4">
        <v>0</v>
      </c>
      <c r="AU56" s="4">
        <v>0</v>
      </c>
      <c r="AV56" s="4">
        <v>40.700000000000003</v>
      </c>
      <c r="AW56" s="4">
        <v>12.6</v>
      </c>
      <c r="AX56" s="4">
        <v>18.899999999999999</v>
      </c>
      <c r="AY56" s="4">
        <v>0</v>
      </c>
      <c r="AZ56" s="4">
        <v>27.8</v>
      </c>
      <c r="BA56" s="34" t="s">
        <v>76</v>
      </c>
      <c r="BB56" s="13">
        <v>13.338365641959321</v>
      </c>
      <c r="BC56" s="13">
        <v>5.8591968361734201</v>
      </c>
      <c r="BD56" s="13">
        <v>14.888733840683098</v>
      </c>
      <c r="BE56" s="14">
        <v>4</v>
      </c>
      <c r="BF56" s="14">
        <v>4</v>
      </c>
      <c r="BG56" s="14" t="s">
        <v>76</v>
      </c>
      <c r="BH56" s="14">
        <v>3</v>
      </c>
      <c r="BI56" s="14" t="s">
        <v>87</v>
      </c>
    </row>
    <row r="57" spans="1:61" ht="16" x14ac:dyDescent="0.35">
      <c r="A57" t="s">
        <v>195</v>
      </c>
      <c r="C57" s="4"/>
      <c r="D57" s="4" t="s">
        <v>138</v>
      </c>
      <c r="E57" s="4" t="s">
        <v>139</v>
      </c>
      <c r="F57" s="4"/>
      <c r="G57" s="4"/>
      <c r="H57" s="4">
        <v>1</v>
      </c>
      <c r="I57" s="55">
        <v>1</v>
      </c>
      <c r="J57" s="56">
        <v>1</v>
      </c>
      <c r="K57" s="4">
        <v>0</v>
      </c>
      <c r="L57" s="4"/>
      <c r="M57" s="4"/>
      <c r="N57" s="4">
        <v>0</v>
      </c>
      <c r="O57" s="4">
        <v>0</v>
      </c>
      <c r="P57" s="4"/>
      <c r="Q57" s="29"/>
      <c r="R57" s="4"/>
      <c r="S57" s="32"/>
      <c r="T57" s="29">
        <v>1</v>
      </c>
      <c r="U57" s="4"/>
      <c r="V57" s="29"/>
      <c r="W57" s="4" t="s">
        <v>126</v>
      </c>
      <c r="X57" s="4">
        <v>4</v>
      </c>
      <c r="Y57" s="29"/>
      <c r="Z57" s="4"/>
      <c r="AA57" s="4" t="s">
        <v>70</v>
      </c>
      <c r="AB57" s="4" t="s">
        <v>70</v>
      </c>
      <c r="AC57" s="23" t="s">
        <v>132</v>
      </c>
      <c r="AD57" s="23" t="s">
        <v>72</v>
      </c>
      <c r="AE57" s="24" t="s">
        <v>111</v>
      </c>
      <c r="AF57" s="4" t="s">
        <v>84</v>
      </c>
      <c r="AG57" s="4">
        <v>3.73</v>
      </c>
      <c r="AH57" s="4" t="s">
        <v>84</v>
      </c>
      <c r="AI57" s="4">
        <v>3.66</v>
      </c>
      <c r="AJ57" s="4" t="s">
        <v>75</v>
      </c>
      <c r="AK57" s="64">
        <v>0</v>
      </c>
      <c r="AL57" s="67">
        <v>3.4250000000000007</v>
      </c>
      <c r="AM57" s="13">
        <v>15.356748615109055</v>
      </c>
      <c r="AN57" s="13">
        <v>39.0071304280753</v>
      </c>
      <c r="AO57" s="14">
        <v>2</v>
      </c>
      <c r="AP57" s="14">
        <v>2</v>
      </c>
      <c r="AQ57" s="13">
        <f>Table13[[#This Row],[Share of Domestic Debt (2023)]]-Table13[[#This Row],[Share of Domestic Debt (2005)]]</f>
        <v>23.650381812966245</v>
      </c>
      <c r="AR57" s="35" t="s">
        <v>94</v>
      </c>
      <c r="AS57" s="4" t="s">
        <v>86</v>
      </c>
      <c r="AT57" s="4">
        <v>0</v>
      </c>
      <c r="AU57" s="4">
        <v>0.2</v>
      </c>
      <c r="AV57" s="4">
        <v>5.0999999999999996</v>
      </c>
      <c r="AW57" s="4">
        <v>12.2</v>
      </c>
      <c r="AX57" s="4">
        <v>23.2</v>
      </c>
      <c r="AY57" s="4">
        <v>0</v>
      </c>
      <c r="AZ57" s="4">
        <v>59.3</v>
      </c>
      <c r="BA57" s="34" t="s">
        <v>76</v>
      </c>
      <c r="BB57" s="13">
        <v>10.296982348752707</v>
      </c>
      <c r="BC57" s="13">
        <v>9.6377654995154138</v>
      </c>
      <c r="BD57" s="13">
        <v>11.5364019749587</v>
      </c>
      <c r="BE57" s="14">
        <v>3</v>
      </c>
      <c r="BF57" s="14">
        <v>3</v>
      </c>
      <c r="BG57" s="14" t="s">
        <v>76</v>
      </c>
      <c r="BH57" s="134">
        <v>4</v>
      </c>
      <c r="BI57" s="134" t="s">
        <v>113</v>
      </c>
    </row>
    <row r="58" spans="1:61" ht="16" x14ac:dyDescent="0.35">
      <c r="A58" t="s">
        <v>196</v>
      </c>
      <c r="C58" s="4">
        <v>1</v>
      </c>
      <c r="D58" s="4" t="s">
        <v>69</v>
      </c>
      <c r="E58" s="4"/>
      <c r="F58" s="4">
        <v>1</v>
      </c>
      <c r="G58" s="4">
        <v>1</v>
      </c>
      <c r="H58" s="4"/>
      <c r="I58" s="55"/>
      <c r="J58" s="56"/>
      <c r="K58" s="4">
        <v>1</v>
      </c>
      <c r="L58" s="4"/>
      <c r="M58" s="4">
        <v>1</v>
      </c>
      <c r="N58" s="4">
        <v>0</v>
      </c>
      <c r="O58" s="4">
        <v>0</v>
      </c>
      <c r="P58" s="4"/>
      <c r="Q58" s="29">
        <v>2</v>
      </c>
      <c r="R58" s="4" t="s">
        <v>76</v>
      </c>
      <c r="S58" s="32"/>
      <c r="T58" s="29">
        <v>0</v>
      </c>
      <c r="U58" s="4">
        <v>0</v>
      </c>
      <c r="V58" s="29"/>
      <c r="W58" s="4">
        <v>1</v>
      </c>
      <c r="X58" s="4">
        <v>1</v>
      </c>
      <c r="Y58" s="29" t="s">
        <v>127</v>
      </c>
      <c r="Z58" s="4"/>
      <c r="AA58" s="4" t="s">
        <v>127</v>
      </c>
      <c r="AB58" s="4" t="s">
        <v>127</v>
      </c>
      <c r="AC58" s="23" t="s">
        <v>71</v>
      </c>
      <c r="AD58" s="23" t="s">
        <v>123</v>
      </c>
      <c r="AE58" s="24" t="s">
        <v>197</v>
      </c>
      <c r="AF58" s="4" t="s">
        <v>74</v>
      </c>
      <c r="AG58" s="4">
        <v>2.3199999999999998</v>
      </c>
      <c r="AH58" s="4" t="s">
        <v>74</v>
      </c>
      <c r="AI58" s="4">
        <v>2</v>
      </c>
      <c r="AJ58" s="4" t="s">
        <v>75</v>
      </c>
      <c r="AK58" s="64">
        <v>0</v>
      </c>
      <c r="AL58" s="67">
        <v>0</v>
      </c>
      <c r="AM58" s="13">
        <v>59.700193005181042</v>
      </c>
      <c r="AN58" s="13">
        <v>74.427474053171863</v>
      </c>
      <c r="AO58" s="14">
        <v>4</v>
      </c>
      <c r="AP58" s="14">
        <v>4</v>
      </c>
      <c r="AQ58" s="13">
        <f>Table13[[#This Row],[Share of Domestic Debt (2023)]]-Table13[[#This Row],[Share of Domestic Debt (2005)]]</f>
        <v>14.727281047990822</v>
      </c>
      <c r="AR58" s="35" t="s">
        <v>85</v>
      </c>
      <c r="AS58" s="4" t="s">
        <v>77</v>
      </c>
      <c r="AT58" s="4">
        <v>0</v>
      </c>
      <c r="AU58" s="4">
        <v>8.1999999999999993</v>
      </c>
      <c r="AV58" s="4">
        <v>29.4</v>
      </c>
      <c r="AW58" s="4">
        <v>42.7</v>
      </c>
      <c r="AX58" s="4">
        <v>5.8</v>
      </c>
      <c r="AY58" s="4">
        <v>0</v>
      </c>
      <c r="AZ58" s="4">
        <v>14</v>
      </c>
      <c r="BA58" s="34">
        <v>7.1170322579789156</v>
      </c>
      <c r="BB58" s="13">
        <v>5.626242480059247</v>
      </c>
      <c r="BC58" s="13">
        <v>2.5593282643557522</v>
      </c>
      <c r="BD58" s="13">
        <v>3.7260507443112019</v>
      </c>
      <c r="BE58" s="14">
        <v>2</v>
      </c>
      <c r="BF58" s="14">
        <v>1</v>
      </c>
      <c r="BG58" s="14">
        <v>3</v>
      </c>
      <c r="BH58" s="14">
        <v>1</v>
      </c>
      <c r="BI58" s="14" t="s">
        <v>130</v>
      </c>
    </row>
    <row r="59" spans="1:61" ht="16" x14ac:dyDescent="0.35">
      <c r="A59" t="s">
        <v>198</v>
      </c>
      <c r="C59" s="4">
        <v>1</v>
      </c>
      <c r="D59" s="4" t="s">
        <v>69</v>
      </c>
      <c r="E59" s="4"/>
      <c r="F59" s="4"/>
      <c r="G59" s="4">
        <v>1</v>
      </c>
      <c r="H59" s="4"/>
      <c r="I59" s="55"/>
      <c r="J59" s="56"/>
      <c r="K59" s="4">
        <v>0</v>
      </c>
      <c r="L59" s="4"/>
      <c r="M59" s="4"/>
      <c r="N59" s="4">
        <v>0</v>
      </c>
      <c r="O59" s="4">
        <v>0</v>
      </c>
      <c r="P59" s="4"/>
      <c r="Q59" s="29"/>
      <c r="R59" s="4"/>
      <c r="S59" s="32"/>
      <c r="T59" s="29">
        <v>0</v>
      </c>
      <c r="U59" s="4">
        <v>0</v>
      </c>
      <c r="V59" s="29"/>
      <c r="W59" s="4">
        <v>1</v>
      </c>
      <c r="X59" s="4">
        <v>1</v>
      </c>
      <c r="Y59" s="29"/>
      <c r="Z59" s="4"/>
      <c r="AA59" s="4" t="s">
        <v>142</v>
      </c>
      <c r="AB59" s="4" t="s">
        <v>142</v>
      </c>
      <c r="AC59" s="23" t="s">
        <v>142</v>
      </c>
      <c r="AD59" s="23" t="s">
        <v>76</v>
      </c>
      <c r="AE59" s="24" t="s">
        <v>76</v>
      </c>
      <c r="AF59" s="4" t="s">
        <v>76</v>
      </c>
      <c r="AG59" s="4" t="s">
        <v>76</v>
      </c>
      <c r="AH59" s="4" t="s">
        <v>76</v>
      </c>
      <c r="AI59" s="4" t="s">
        <v>76</v>
      </c>
      <c r="AJ59" s="4" t="s">
        <v>76</v>
      </c>
      <c r="AK59" s="64">
        <v>0</v>
      </c>
      <c r="AL59" s="67" t="s">
        <v>76</v>
      </c>
      <c r="AM59" s="13" t="s">
        <v>76</v>
      </c>
      <c r="AN59" s="13" t="s">
        <v>76</v>
      </c>
      <c r="AO59" s="14" t="s">
        <v>76</v>
      </c>
      <c r="AP59" s="14" t="s">
        <v>76</v>
      </c>
      <c r="AQ59" s="13" t="s">
        <v>76</v>
      </c>
      <c r="AR59" s="35" t="s">
        <v>76</v>
      </c>
      <c r="AS59" s="4" t="s">
        <v>77</v>
      </c>
      <c r="AT59" s="4">
        <v>0</v>
      </c>
      <c r="AU59" s="4">
        <v>2</v>
      </c>
      <c r="AV59" s="4">
        <v>0.5</v>
      </c>
      <c r="AW59" s="4">
        <v>56.8</v>
      </c>
      <c r="AX59" s="4">
        <v>0.4</v>
      </c>
      <c r="AY59" s="4">
        <v>0</v>
      </c>
      <c r="AZ59" s="4">
        <v>40.299999999999997</v>
      </c>
      <c r="BA59" s="34">
        <v>2.7937920836732202</v>
      </c>
      <c r="BB59" s="13">
        <v>4.8596971905922954</v>
      </c>
      <c r="BC59" s="13" t="s">
        <v>76</v>
      </c>
      <c r="BD59" s="13" t="s">
        <v>76</v>
      </c>
      <c r="BE59" s="14">
        <v>2</v>
      </c>
      <c r="BF59" s="14" t="s">
        <v>76</v>
      </c>
      <c r="BG59" s="14">
        <v>2</v>
      </c>
      <c r="BH59" s="14" t="s">
        <v>76</v>
      </c>
      <c r="BI59" s="14" t="s">
        <v>76</v>
      </c>
    </row>
    <row r="60" spans="1:61" ht="16" x14ac:dyDescent="0.35">
      <c r="A60" t="s">
        <v>199</v>
      </c>
      <c r="B60">
        <v>1</v>
      </c>
      <c r="C60" s="4">
        <v>1</v>
      </c>
      <c r="D60" s="4" t="s">
        <v>69</v>
      </c>
      <c r="E60" s="4"/>
      <c r="F60" s="4">
        <v>1</v>
      </c>
      <c r="G60" s="4"/>
      <c r="H60" s="4"/>
      <c r="I60" s="55"/>
      <c r="J60" s="56"/>
      <c r="K60" s="4">
        <v>1</v>
      </c>
      <c r="L60" s="4"/>
      <c r="M60" s="4">
        <v>1</v>
      </c>
      <c r="N60" s="4">
        <v>0</v>
      </c>
      <c r="O60" s="4">
        <v>0</v>
      </c>
      <c r="P60" s="4"/>
      <c r="Q60" s="29"/>
      <c r="R60" s="4"/>
      <c r="S60" s="32"/>
      <c r="T60" s="29">
        <v>1</v>
      </c>
      <c r="U60" s="4"/>
      <c r="V60" s="29">
        <v>1</v>
      </c>
      <c r="W60" s="4" t="s">
        <v>126</v>
      </c>
      <c r="X60" s="4">
        <v>2</v>
      </c>
      <c r="Y60" s="29" t="s">
        <v>91</v>
      </c>
      <c r="Z60" s="4"/>
      <c r="AA60" s="4" t="s">
        <v>70</v>
      </c>
      <c r="AB60" s="4" t="s">
        <v>70</v>
      </c>
      <c r="AC60" s="23" t="s">
        <v>158</v>
      </c>
      <c r="AD60" s="23" t="s">
        <v>72</v>
      </c>
      <c r="AE60" s="24" t="s">
        <v>73</v>
      </c>
      <c r="AF60" s="4" t="s">
        <v>74</v>
      </c>
      <c r="AG60" s="4">
        <v>3.38</v>
      </c>
      <c r="AH60" s="4" t="s">
        <v>98</v>
      </c>
      <c r="AI60" s="4">
        <v>3.19</v>
      </c>
      <c r="AJ60" s="4" t="s">
        <v>129</v>
      </c>
      <c r="AK60" s="64">
        <v>10.3</v>
      </c>
      <c r="AL60" s="67">
        <v>1.7299999999999969</v>
      </c>
      <c r="AM60" s="13">
        <v>20.420741405028338</v>
      </c>
      <c r="AN60" s="13">
        <v>15.153537639041801</v>
      </c>
      <c r="AO60" s="14">
        <v>2</v>
      </c>
      <c r="AP60" s="14">
        <v>1</v>
      </c>
      <c r="AQ60" s="13">
        <f>Table13[[#This Row],[Share of Domestic Debt (2023)]]-Table13[[#This Row],[Share of Domestic Debt (2005)]]</f>
        <v>-5.2672037659865367</v>
      </c>
      <c r="AR60" s="35" t="s">
        <v>112</v>
      </c>
      <c r="AS60" s="4" t="s">
        <v>116</v>
      </c>
      <c r="AT60" s="4">
        <v>1</v>
      </c>
      <c r="AU60" s="4">
        <v>40.6</v>
      </c>
      <c r="AV60" s="4">
        <v>12.6</v>
      </c>
      <c r="AW60" s="4">
        <v>5.5</v>
      </c>
      <c r="AX60" s="4">
        <v>12.9</v>
      </c>
      <c r="AY60" s="4">
        <v>0</v>
      </c>
      <c r="AZ60" s="4">
        <v>28.5</v>
      </c>
      <c r="BA60" s="34">
        <v>2.3504315538472995</v>
      </c>
      <c r="BB60" s="13">
        <v>2.4919240691217879</v>
      </c>
      <c r="BC60" s="13">
        <v>5.0805843828215878</v>
      </c>
      <c r="BD60" s="13">
        <v>2.6710583174673017</v>
      </c>
      <c r="BE60" s="14">
        <v>1</v>
      </c>
      <c r="BF60" s="14">
        <v>1</v>
      </c>
      <c r="BG60" s="14">
        <v>1</v>
      </c>
      <c r="BH60" s="14">
        <v>2</v>
      </c>
      <c r="BI60" s="14" t="s">
        <v>99</v>
      </c>
    </row>
    <row r="61" spans="1:61" ht="16" x14ac:dyDescent="0.35">
      <c r="A61" t="s">
        <v>200</v>
      </c>
      <c r="C61" s="4">
        <v>1</v>
      </c>
      <c r="D61" s="4" t="s">
        <v>89</v>
      </c>
      <c r="E61" s="4" t="s">
        <v>107</v>
      </c>
      <c r="F61" s="4"/>
      <c r="G61" s="4"/>
      <c r="H61" s="4"/>
      <c r="I61" s="55">
        <v>1</v>
      </c>
      <c r="J61" s="56">
        <v>1</v>
      </c>
      <c r="K61" s="4">
        <v>1</v>
      </c>
      <c r="L61" s="4">
        <v>1</v>
      </c>
      <c r="M61" s="4">
        <v>2</v>
      </c>
      <c r="N61" s="4">
        <v>1</v>
      </c>
      <c r="O61" s="4">
        <v>1</v>
      </c>
      <c r="P61" s="4">
        <v>1</v>
      </c>
      <c r="Q61" s="29">
        <v>1</v>
      </c>
      <c r="R61" s="4">
        <v>2001</v>
      </c>
      <c r="S61" s="32"/>
      <c r="T61" s="29">
        <v>1</v>
      </c>
      <c r="U61" s="4"/>
      <c r="V61" s="29">
        <v>1</v>
      </c>
      <c r="W61" s="4">
        <v>1</v>
      </c>
      <c r="X61" s="4">
        <v>1</v>
      </c>
      <c r="Y61" s="29" t="s">
        <v>91</v>
      </c>
      <c r="Z61" s="4"/>
      <c r="AA61" s="4" t="s">
        <v>91</v>
      </c>
      <c r="AB61" s="4" t="s">
        <v>91</v>
      </c>
      <c r="AC61" s="23" t="s">
        <v>82</v>
      </c>
      <c r="AD61" s="23" t="s">
        <v>72</v>
      </c>
      <c r="AE61" s="24" t="s">
        <v>111</v>
      </c>
      <c r="AF61" s="4" t="s">
        <v>98</v>
      </c>
      <c r="AG61" s="4">
        <v>3.75</v>
      </c>
      <c r="AH61" s="4" t="s">
        <v>84</v>
      </c>
      <c r="AI61" s="4">
        <v>3.51</v>
      </c>
      <c r="AJ61" s="4" t="s">
        <v>103</v>
      </c>
      <c r="AK61" s="64">
        <v>4.3333333333333339</v>
      </c>
      <c r="AL61" s="67">
        <v>0</v>
      </c>
      <c r="AM61" s="13">
        <v>15.422279646790116</v>
      </c>
      <c r="AN61" s="13">
        <v>35.998942764583347</v>
      </c>
      <c r="AO61" s="14">
        <v>2</v>
      </c>
      <c r="AP61" s="14">
        <v>2</v>
      </c>
      <c r="AQ61" s="13">
        <f>Table13[[#This Row],[Share of Domestic Debt (2023)]]-Table13[[#This Row],[Share of Domestic Debt (2005)]]</f>
        <v>20.576663117793231</v>
      </c>
      <c r="AR61" s="35" t="s">
        <v>94</v>
      </c>
      <c r="AS61" s="4" t="s">
        <v>86</v>
      </c>
      <c r="AT61" s="4">
        <v>1</v>
      </c>
      <c r="AU61" s="4">
        <v>14.3</v>
      </c>
      <c r="AV61" s="4">
        <v>12.8</v>
      </c>
      <c r="AW61" s="4">
        <v>11.5</v>
      </c>
      <c r="AX61" s="4">
        <v>44.8</v>
      </c>
      <c r="AY61" s="4">
        <v>0</v>
      </c>
      <c r="AZ61" s="4">
        <v>16.600000000000001</v>
      </c>
      <c r="BA61" s="34">
        <v>4.9660580140214545</v>
      </c>
      <c r="BB61" s="13">
        <v>5.8622951054206114</v>
      </c>
      <c r="BC61" s="13">
        <v>12.961021429101752</v>
      </c>
      <c r="BD61" s="13">
        <v>14.566080795673741</v>
      </c>
      <c r="BE61" s="14">
        <v>3</v>
      </c>
      <c r="BF61" s="14">
        <v>4</v>
      </c>
      <c r="BG61" s="14">
        <v>3</v>
      </c>
      <c r="BH61" s="14">
        <v>4</v>
      </c>
      <c r="BI61" s="14" t="s">
        <v>95</v>
      </c>
    </row>
    <row r="62" spans="1:61" ht="16" x14ac:dyDescent="0.35">
      <c r="A62" t="s">
        <v>201</v>
      </c>
      <c r="C62" s="4">
        <v>1</v>
      </c>
      <c r="D62" s="4" t="s">
        <v>79</v>
      </c>
      <c r="E62" s="4"/>
      <c r="F62" s="4">
        <v>1</v>
      </c>
      <c r="G62" s="4">
        <v>1</v>
      </c>
      <c r="H62" s="4">
        <v>1</v>
      </c>
      <c r="I62" s="55">
        <v>1</v>
      </c>
      <c r="J62" s="56">
        <v>1</v>
      </c>
      <c r="K62" s="4">
        <v>0</v>
      </c>
      <c r="L62" s="4"/>
      <c r="M62" s="4"/>
      <c r="N62" s="4">
        <v>0</v>
      </c>
      <c r="O62" s="4">
        <v>0</v>
      </c>
      <c r="P62" s="4"/>
      <c r="Q62" s="29"/>
      <c r="R62" s="4"/>
      <c r="S62" s="32"/>
      <c r="T62" s="29"/>
      <c r="U62" s="4">
        <v>1</v>
      </c>
      <c r="V62" s="29"/>
      <c r="W62" s="4" t="s">
        <v>80</v>
      </c>
      <c r="X62" s="4">
        <v>3</v>
      </c>
      <c r="Y62" s="29"/>
      <c r="Z62" s="4"/>
      <c r="AA62" s="4" t="s">
        <v>91</v>
      </c>
      <c r="AB62" s="4" t="s">
        <v>91</v>
      </c>
      <c r="AC62" s="23" t="s">
        <v>147</v>
      </c>
      <c r="AD62" s="23" t="s">
        <v>72</v>
      </c>
      <c r="AE62" s="24" t="s">
        <v>111</v>
      </c>
      <c r="AF62" s="4" t="s">
        <v>74</v>
      </c>
      <c r="AG62" s="4">
        <v>3.02</v>
      </c>
      <c r="AH62" s="4" t="s">
        <v>74</v>
      </c>
      <c r="AI62" s="4">
        <v>2.79</v>
      </c>
      <c r="AJ62" s="4" t="s">
        <v>75</v>
      </c>
      <c r="AK62" s="64">
        <v>0</v>
      </c>
      <c r="AL62" s="67">
        <v>0</v>
      </c>
      <c r="AM62" s="13" t="s">
        <v>76</v>
      </c>
      <c r="AN62" s="13">
        <v>1.5849941958483384</v>
      </c>
      <c r="AO62" s="14" t="s">
        <v>76</v>
      </c>
      <c r="AP62" s="14">
        <v>1</v>
      </c>
      <c r="AQ62" s="13" t="s">
        <v>76</v>
      </c>
      <c r="AR62" s="35" t="s">
        <v>76</v>
      </c>
      <c r="AS62" s="4" t="s">
        <v>86</v>
      </c>
      <c r="AT62" s="4">
        <v>0</v>
      </c>
      <c r="AU62" s="4">
        <v>0</v>
      </c>
      <c r="AV62" s="4">
        <v>0</v>
      </c>
      <c r="AW62" s="4">
        <v>10.199999999999999</v>
      </c>
      <c r="AX62" s="4">
        <v>21.4</v>
      </c>
      <c r="AY62" s="4">
        <v>0</v>
      </c>
      <c r="AZ62" s="4">
        <v>68.400000000000006</v>
      </c>
      <c r="BA62" s="34" t="s">
        <v>76</v>
      </c>
      <c r="BB62" s="13" t="s">
        <v>76</v>
      </c>
      <c r="BC62" s="13">
        <v>5.035392525086861</v>
      </c>
      <c r="BD62" s="13">
        <v>0.76100469097393986</v>
      </c>
      <c r="BE62" s="14" t="s">
        <v>76</v>
      </c>
      <c r="BF62" s="14">
        <v>1</v>
      </c>
      <c r="BG62" s="14" t="s">
        <v>76</v>
      </c>
      <c r="BH62" s="14">
        <v>2</v>
      </c>
      <c r="BI62" s="14" t="s">
        <v>76</v>
      </c>
    </row>
    <row r="63" spans="1:61" ht="16" x14ac:dyDescent="0.35">
      <c r="A63" t="s">
        <v>202</v>
      </c>
      <c r="C63" s="4">
        <v>1</v>
      </c>
      <c r="D63" s="4" t="s">
        <v>89</v>
      </c>
      <c r="E63" s="4" t="s">
        <v>90</v>
      </c>
      <c r="F63" s="4"/>
      <c r="G63" s="4"/>
      <c r="H63" s="4"/>
      <c r="I63" s="55">
        <v>1</v>
      </c>
      <c r="J63" s="56">
        <v>1</v>
      </c>
      <c r="K63" s="4">
        <v>1</v>
      </c>
      <c r="L63" s="4">
        <v>1</v>
      </c>
      <c r="M63" s="4">
        <v>3</v>
      </c>
      <c r="N63" s="4">
        <v>1</v>
      </c>
      <c r="O63" s="4">
        <v>1</v>
      </c>
      <c r="P63" s="4"/>
      <c r="Q63" s="29">
        <v>1</v>
      </c>
      <c r="R63" s="4">
        <v>2010</v>
      </c>
      <c r="S63" s="32"/>
      <c r="T63" s="29">
        <v>1</v>
      </c>
      <c r="U63" s="4"/>
      <c r="V63" s="29">
        <v>1</v>
      </c>
      <c r="W63" s="4">
        <v>1</v>
      </c>
      <c r="X63" s="4">
        <v>1</v>
      </c>
      <c r="Y63" s="29" t="s">
        <v>127</v>
      </c>
      <c r="Z63" s="4" t="s">
        <v>91</v>
      </c>
      <c r="AA63" s="4" t="s">
        <v>91</v>
      </c>
      <c r="AB63" s="4" t="s">
        <v>70</v>
      </c>
      <c r="AC63" s="23" t="s">
        <v>92</v>
      </c>
      <c r="AD63" s="23" t="s">
        <v>72</v>
      </c>
      <c r="AE63" s="24" t="s">
        <v>111</v>
      </c>
      <c r="AF63" s="4" t="s">
        <v>74</v>
      </c>
      <c r="AG63" s="4">
        <v>2.97</v>
      </c>
      <c r="AH63" s="4" t="s">
        <v>84</v>
      </c>
      <c r="AI63" s="4">
        <v>3.77</v>
      </c>
      <c r="AJ63" s="4" t="s">
        <v>129</v>
      </c>
      <c r="AK63" s="64">
        <v>0</v>
      </c>
      <c r="AL63" s="67">
        <v>6.8000000000000007</v>
      </c>
      <c r="AM63" s="13">
        <v>22.163650201206337</v>
      </c>
      <c r="AN63" s="13">
        <v>67.373230268243248</v>
      </c>
      <c r="AO63" s="14">
        <v>2</v>
      </c>
      <c r="AP63" s="14">
        <v>4</v>
      </c>
      <c r="AQ63" s="13">
        <f>Table13[[#This Row],[Share of Domestic Debt (2023)]]-Table13[[#This Row],[Share of Domestic Debt (2005)]]</f>
        <v>45.20958006703691</v>
      </c>
      <c r="AR63" s="35" t="s">
        <v>104</v>
      </c>
      <c r="AS63" s="4" t="s">
        <v>86</v>
      </c>
      <c r="AT63" s="4">
        <v>1</v>
      </c>
      <c r="AU63" s="4">
        <v>36.6</v>
      </c>
      <c r="AV63" s="4">
        <v>8.3000000000000007</v>
      </c>
      <c r="AW63" s="4">
        <v>8.1999999999999993</v>
      </c>
      <c r="AX63" s="4">
        <v>11.3</v>
      </c>
      <c r="AY63" s="4">
        <v>0</v>
      </c>
      <c r="AZ63" s="4">
        <v>35.5</v>
      </c>
      <c r="BA63" s="34">
        <v>2.7097276156705545</v>
      </c>
      <c r="BB63" s="13">
        <v>6.1666566113139449</v>
      </c>
      <c r="BC63" s="13">
        <v>9.2513866370534483</v>
      </c>
      <c r="BD63" s="13">
        <v>12.512098530246895</v>
      </c>
      <c r="BE63" s="14">
        <v>3</v>
      </c>
      <c r="BF63" s="14">
        <v>3</v>
      </c>
      <c r="BG63" s="14">
        <v>2</v>
      </c>
      <c r="BH63" s="14">
        <v>3</v>
      </c>
      <c r="BI63" s="14" t="s">
        <v>95</v>
      </c>
    </row>
    <row r="64" spans="1:61" ht="16" x14ac:dyDescent="0.35">
      <c r="A64" t="s">
        <v>203</v>
      </c>
      <c r="C64" s="4"/>
      <c r="D64" s="4" t="s">
        <v>79</v>
      </c>
      <c r="E64" s="4"/>
      <c r="F64" s="4"/>
      <c r="G64" s="4"/>
      <c r="H64" s="4">
        <v>1</v>
      </c>
      <c r="I64" s="55"/>
      <c r="J64" s="56"/>
      <c r="K64" s="4">
        <v>0</v>
      </c>
      <c r="L64" s="4"/>
      <c r="M64" s="4"/>
      <c r="N64" s="4">
        <v>0</v>
      </c>
      <c r="O64" s="4">
        <v>0</v>
      </c>
      <c r="P64" s="4"/>
      <c r="Q64" s="29"/>
      <c r="R64" s="4"/>
      <c r="S64" s="32"/>
      <c r="T64" s="29">
        <v>1</v>
      </c>
      <c r="U64" s="4"/>
      <c r="V64" s="29"/>
      <c r="W64" s="4" t="s">
        <v>126</v>
      </c>
      <c r="X64" s="4">
        <v>4</v>
      </c>
      <c r="Y64" s="29" t="s">
        <v>70</v>
      </c>
      <c r="Z64" s="4"/>
      <c r="AA64" s="4" t="s">
        <v>70</v>
      </c>
      <c r="AB64" s="4" t="s">
        <v>70</v>
      </c>
      <c r="AC64" s="23" t="s">
        <v>147</v>
      </c>
      <c r="AD64" s="23" t="s">
        <v>72</v>
      </c>
      <c r="AE64" s="24" t="s">
        <v>185</v>
      </c>
      <c r="AF64" s="4" t="s">
        <v>74</v>
      </c>
      <c r="AG64" s="4">
        <v>3.46</v>
      </c>
      <c r="AH64" s="4" t="s">
        <v>98</v>
      </c>
      <c r="AI64" s="4">
        <v>3.46</v>
      </c>
      <c r="AJ64" s="4" t="s">
        <v>129</v>
      </c>
      <c r="AK64" s="64">
        <v>2</v>
      </c>
      <c r="AL64" s="67">
        <v>0</v>
      </c>
      <c r="AM64" s="13">
        <v>30.115716745039123</v>
      </c>
      <c r="AN64" s="13">
        <v>32.06058777488299</v>
      </c>
      <c r="AO64" s="14">
        <v>3</v>
      </c>
      <c r="AP64" s="14">
        <v>2</v>
      </c>
      <c r="AQ64" s="13">
        <f>Table13[[#This Row],[Share of Domestic Debt (2023)]]-Table13[[#This Row],[Share of Domestic Debt (2005)]]</f>
        <v>1.9448710298438669</v>
      </c>
      <c r="AR64" s="35" t="s">
        <v>113</v>
      </c>
      <c r="AS64" s="4" t="s">
        <v>116</v>
      </c>
      <c r="AT64" s="4">
        <v>1</v>
      </c>
      <c r="AU64" s="4">
        <v>60.7</v>
      </c>
      <c r="AV64" s="4">
        <v>0</v>
      </c>
      <c r="AW64" s="4">
        <v>0</v>
      </c>
      <c r="AX64" s="4">
        <v>21.3</v>
      </c>
      <c r="AY64" s="4">
        <v>0</v>
      </c>
      <c r="AZ64" s="4">
        <v>18</v>
      </c>
      <c r="BA64" s="34">
        <v>4.2463277522530367</v>
      </c>
      <c r="BB64" s="13">
        <v>3.1501019982854666</v>
      </c>
      <c r="BC64" s="13">
        <v>2.4308973876509308</v>
      </c>
      <c r="BD64" s="13">
        <v>0.89316308991020521</v>
      </c>
      <c r="BE64" s="14">
        <v>1</v>
      </c>
      <c r="BF64" s="14">
        <v>1</v>
      </c>
      <c r="BG64" s="14">
        <v>2</v>
      </c>
      <c r="BH64" s="14">
        <v>1</v>
      </c>
      <c r="BI64" s="14" t="s">
        <v>130</v>
      </c>
    </row>
    <row r="65" spans="1:61" ht="16" customHeight="1" x14ac:dyDescent="0.35">
      <c r="A65" t="s">
        <v>204</v>
      </c>
      <c r="C65" s="4"/>
      <c r="D65" s="4" t="s">
        <v>79</v>
      </c>
      <c r="E65" s="4"/>
      <c r="F65" s="4">
        <v>1</v>
      </c>
      <c r="G65" s="4">
        <v>1</v>
      </c>
      <c r="H65" s="4">
        <v>1</v>
      </c>
      <c r="I65" s="55"/>
      <c r="J65" s="56"/>
      <c r="K65" s="4">
        <v>0</v>
      </c>
      <c r="L65" s="4"/>
      <c r="M65" s="4"/>
      <c r="N65" s="4">
        <v>0</v>
      </c>
      <c r="O65" s="4">
        <v>0</v>
      </c>
      <c r="P65" s="4"/>
      <c r="Q65" s="29"/>
      <c r="R65" s="4"/>
      <c r="S65" s="32"/>
      <c r="T65" s="29"/>
      <c r="U65" s="4">
        <v>1</v>
      </c>
      <c r="V65" s="29"/>
      <c r="W65" s="4" t="s">
        <v>126</v>
      </c>
      <c r="X65" s="4">
        <v>4</v>
      </c>
      <c r="Y65" s="29"/>
      <c r="Z65" s="4"/>
      <c r="AA65" s="4" t="s">
        <v>70</v>
      </c>
      <c r="AB65" s="4" t="s">
        <v>70</v>
      </c>
      <c r="AC65" s="23" t="s">
        <v>205</v>
      </c>
      <c r="AD65" s="23" t="s">
        <v>72</v>
      </c>
      <c r="AE65" s="24" t="s">
        <v>73</v>
      </c>
      <c r="AF65" s="4" t="s">
        <v>74</v>
      </c>
      <c r="AG65" s="4">
        <v>2.77</v>
      </c>
      <c r="AH65" s="4" t="s">
        <v>74</v>
      </c>
      <c r="AI65" s="4">
        <v>2.86</v>
      </c>
      <c r="AJ65" s="4" t="s">
        <v>75</v>
      </c>
      <c r="AK65" s="64">
        <v>0</v>
      </c>
      <c r="AL65" s="67">
        <v>0</v>
      </c>
      <c r="AM65" s="13" t="s">
        <v>76</v>
      </c>
      <c r="AN65" s="13" t="s">
        <v>76</v>
      </c>
      <c r="AO65" s="14" t="s">
        <v>76</v>
      </c>
      <c r="AP65" s="14" t="s">
        <v>76</v>
      </c>
      <c r="AQ65" s="13" t="s">
        <v>76</v>
      </c>
      <c r="AR65" s="35" t="s">
        <v>76</v>
      </c>
      <c r="AS65" s="4" t="s">
        <v>76</v>
      </c>
      <c r="AT65" s="4" t="s">
        <v>76</v>
      </c>
      <c r="AU65" s="4" t="s">
        <v>76</v>
      </c>
      <c r="AV65" s="4" t="s">
        <v>76</v>
      </c>
      <c r="AW65" s="4" t="s">
        <v>76</v>
      </c>
      <c r="AX65" s="4" t="s">
        <v>76</v>
      </c>
      <c r="AY65" s="4" t="s">
        <v>76</v>
      </c>
      <c r="AZ65" s="4" t="s">
        <v>76</v>
      </c>
      <c r="BA65" s="34">
        <v>2.4688299609262674</v>
      </c>
      <c r="BB65" s="13">
        <v>0.46534399277030236</v>
      </c>
      <c r="BC65" s="13">
        <v>0.30587065805586094</v>
      </c>
      <c r="BD65" s="13">
        <v>4.5450798693644275E-2</v>
      </c>
      <c r="BE65" s="14">
        <v>1</v>
      </c>
      <c r="BF65" s="14">
        <v>1</v>
      </c>
      <c r="BG65" s="14">
        <v>1</v>
      </c>
      <c r="BH65" s="14">
        <v>1</v>
      </c>
      <c r="BI65" s="14" t="s">
        <v>99</v>
      </c>
    </row>
    <row r="66" spans="1:61" ht="16" customHeight="1" x14ac:dyDescent="0.35">
      <c r="A66" t="s">
        <v>206</v>
      </c>
      <c r="C66" s="4">
        <v>1</v>
      </c>
      <c r="D66" s="4" t="s">
        <v>89</v>
      </c>
      <c r="E66" s="4" t="s">
        <v>107</v>
      </c>
      <c r="F66" s="4"/>
      <c r="G66" s="4"/>
      <c r="H66" s="4"/>
      <c r="I66" s="55">
        <v>1</v>
      </c>
      <c r="J66" s="56">
        <v>1</v>
      </c>
      <c r="K66" s="4">
        <v>1</v>
      </c>
      <c r="L66" s="4"/>
      <c r="M66" s="4">
        <v>1</v>
      </c>
      <c r="N66" s="4">
        <v>0</v>
      </c>
      <c r="O66" s="4">
        <v>0</v>
      </c>
      <c r="P66" s="4"/>
      <c r="Q66" s="29">
        <v>1</v>
      </c>
      <c r="R66" s="4" t="s">
        <v>207</v>
      </c>
      <c r="S66" s="32"/>
      <c r="T66" s="29">
        <v>1</v>
      </c>
      <c r="U66" s="4"/>
      <c r="V66" s="29"/>
      <c r="W66" s="4">
        <v>1</v>
      </c>
      <c r="X66" s="4">
        <v>1</v>
      </c>
      <c r="Y66" s="29" t="s">
        <v>91</v>
      </c>
      <c r="Z66" s="4"/>
      <c r="AA66" s="4" t="s">
        <v>91</v>
      </c>
      <c r="AB66" s="4" t="s">
        <v>91</v>
      </c>
      <c r="AC66" s="23" t="s">
        <v>97</v>
      </c>
      <c r="AD66" s="23" t="s">
        <v>72</v>
      </c>
      <c r="AE66" s="24" t="s">
        <v>111</v>
      </c>
      <c r="AF66" s="4" t="s">
        <v>98</v>
      </c>
      <c r="AG66" s="4">
        <v>3.72</v>
      </c>
      <c r="AH66" s="4" t="s">
        <v>84</v>
      </c>
      <c r="AI66" s="4">
        <v>3.55</v>
      </c>
      <c r="AJ66" s="4" t="s">
        <v>103</v>
      </c>
      <c r="AK66" s="64">
        <v>9.1</v>
      </c>
      <c r="AL66" s="67">
        <v>2.132000000000005</v>
      </c>
      <c r="AM66" s="13">
        <v>19.0259080062674</v>
      </c>
      <c r="AN66" s="13">
        <v>48.772737574794093</v>
      </c>
      <c r="AO66" s="14">
        <v>2</v>
      </c>
      <c r="AP66" s="14">
        <v>3</v>
      </c>
      <c r="AQ66" s="13">
        <f>Table13[[#This Row],[Share of Domestic Debt (2023)]]-Table13[[#This Row],[Share of Domestic Debt (2005)]]</f>
        <v>29.746829568526692</v>
      </c>
      <c r="AR66" s="35" t="s">
        <v>104</v>
      </c>
      <c r="AS66" s="4" t="s">
        <v>86</v>
      </c>
      <c r="AT66" s="4">
        <v>1</v>
      </c>
      <c r="AU66" s="4">
        <v>20.399999999999999</v>
      </c>
      <c r="AV66" s="4">
        <v>2.2000000000000002</v>
      </c>
      <c r="AW66" s="4">
        <v>7.2</v>
      </c>
      <c r="AX66" s="4">
        <v>42.7</v>
      </c>
      <c r="AY66" s="4">
        <v>2.4</v>
      </c>
      <c r="AZ66" s="4">
        <v>25.2</v>
      </c>
      <c r="BA66" s="34">
        <v>8.7766638268449526</v>
      </c>
      <c r="BB66" s="13">
        <v>7.5951746145022936</v>
      </c>
      <c r="BC66" s="13">
        <v>17.858714767786935</v>
      </c>
      <c r="BD66" s="13">
        <v>24.747589148434209</v>
      </c>
      <c r="BE66" s="14">
        <v>3</v>
      </c>
      <c r="BF66" s="14">
        <v>4</v>
      </c>
      <c r="BG66" s="14">
        <v>4</v>
      </c>
      <c r="BH66" s="14">
        <v>4</v>
      </c>
      <c r="BI66" s="14" t="s">
        <v>95</v>
      </c>
    </row>
    <row r="67" spans="1:61" ht="16" customHeight="1" x14ac:dyDescent="0.35">
      <c r="A67" t="s">
        <v>208</v>
      </c>
      <c r="C67" s="4">
        <v>1</v>
      </c>
      <c r="D67" s="4" t="s">
        <v>69</v>
      </c>
      <c r="E67" s="4"/>
      <c r="F67" s="4"/>
      <c r="G67" s="4"/>
      <c r="H67" s="4"/>
      <c r="I67" s="55"/>
      <c r="J67" s="56"/>
      <c r="K67" s="4">
        <v>0</v>
      </c>
      <c r="L67" s="4"/>
      <c r="M67" s="4"/>
      <c r="N67" s="4">
        <v>0</v>
      </c>
      <c r="O67" s="4">
        <v>0</v>
      </c>
      <c r="P67" s="4"/>
      <c r="Q67" s="29"/>
      <c r="R67" s="4"/>
      <c r="S67" s="32"/>
      <c r="T67" s="29"/>
      <c r="U67" s="4">
        <v>1</v>
      </c>
      <c r="V67" s="29">
        <v>1</v>
      </c>
      <c r="W67" s="4" t="s">
        <v>80</v>
      </c>
      <c r="X67" s="4">
        <v>3</v>
      </c>
      <c r="Y67" s="29"/>
      <c r="Z67" s="4"/>
      <c r="AA67" s="4" t="s">
        <v>81</v>
      </c>
      <c r="AB67" s="4" t="s">
        <v>81</v>
      </c>
      <c r="AC67" s="23" t="s">
        <v>132</v>
      </c>
      <c r="AD67" s="23" t="s">
        <v>72</v>
      </c>
      <c r="AE67" s="24" t="s">
        <v>83</v>
      </c>
      <c r="AF67" s="4" t="s">
        <v>76</v>
      </c>
      <c r="AG67" s="4">
        <v>3.38</v>
      </c>
      <c r="AH67" s="4" t="s">
        <v>98</v>
      </c>
      <c r="AI67" s="4">
        <v>3.84</v>
      </c>
      <c r="AJ67" s="4" t="s">
        <v>76</v>
      </c>
      <c r="AK67" s="64">
        <v>4.2750000000000004</v>
      </c>
      <c r="AL67" s="67">
        <v>1.2749999999999986</v>
      </c>
      <c r="AM67" s="13">
        <v>0</v>
      </c>
      <c r="AN67" s="13">
        <v>8.0478384785520234</v>
      </c>
      <c r="AO67" s="14">
        <v>1</v>
      </c>
      <c r="AP67" s="14">
        <v>1</v>
      </c>
      <c r="AQ67" s="13">
        <f>Table13[[#This Row],[Share of Domestic Debt (2023)]]-Table13[[#This Row],[Share of Domestic Debt (2005)]]</f>
        <v>8.0478384785520234</v>
      </c>
      <c r="AR67" s="35" t="s">
        <v>85</v>
      </c>
      <c r="AS67" s="4" t="s">
        <v>86</v>
      </c>
      <c r="AT67" s="4">
        <v>1</v>
      </c>
      <c r="AU67" s="4">
        <v>16.399999999999999</v>
      </c>
      <c r="AV67" s="4">
        <v>12.5</v>
      </c>
      <c r="AW67" s="4">
        <v>18.7</v>
      </c>
      <c r="AX67" s="4">
        <v>17.3</v>
      </c>
      <c r="AY67" s="4">
        <v>0</v>
      </c>
      <c r="AZ67" s="4">
        <v>35.1</v>
      </c>
      <c r="BA67" s="34">
        <v>1.0626467365817773</v>
      </c>
      <c r="BB67" s="13">
        <v>1.3468316907304136</v>
      </c>
      <c r="BC67" s="13">
        <v>5.1927300407092138</v>
      </c>
      <c r="BD67" s="13">
        <v>4.8663464839159944</v>
      </c>
      <c r="BE67" s="14">
        <v>1</v>
      </c>
      <c r="BF67" s="14">
        <v>2</v>
      </c>
      <c r="BG67" s="14">
        <v>1</v>
      </c>
      <c r="BH67" s="14">
        <v>2</v>
      </c>
      <c r="BI67" s="14" t="s">
        <v>95</v>
      </c>
    </row>
    <row r="68" spans="1:61" ht="16" x14ac:dyDescent="0.35">
      <c r="A68" t="s">
        <v>209</v>
      </c>
      <c r="C68" s="4">
        <v>1</v>
      </c>
      <c r="D68" s="4" t="s">
        <v>79</v>
      </c>
      <c r="E68" s="4"/>
      <c r="F68" s="4"/>
      <c r="G68" s="4"/>
      <c r="H68" s="4">
        <v>1</v>
      </c>
      <c r="I68" s="55"/>
      <c r="J68" s="56"/>
      <c r="K68" s="4">
        <v>0</v>
      </c>
      <c r="L68" s="4"/>
      <c r="M68" s="4"/>
      <c r="N68" s="4">
        <v>0</v>
      </c>
      <c r="O68" s="4">
        <v>0</v>
      </c>
      <c r="P68" s="4"/>
      <c r="Q68" s="29"/>
      <c r="R68" s="4"/>
      <c r="S68" s="32"/>
      <c r="T68" s="29"/>
      <c r="U68" s="4">
        <v>1</v>
      </c>
      <c r="V68" s="29"/>
      <c r="W68" s="4" t="s">
        <v>80</v>
      </c>
      <c r="X68" s="4">
        <v>3</v>
      </c>
      <c r="Y68" s="29"/>
      <c r="Z68" s="4"/>
      <c r="AA68" s="4" t="s">
        <v>70</v>
      </c>
      <c r="AB68" s="4" t="s">
        <v>70</v>
      </c>
      <c r="AC68" s="23" t="s">
        <v>210</v>
      </c>
      <c r="AD68" s="23" t="s">
        <v>72</v>
      </c>
      <c r="AE68" s="24" t="s">
        <v>111</v>
      </c>
      <c r="AF68" s="4" t="s">
        <v>84</v>
      </c>
      <c r="AG68" s="4">
        <v>3.44</v>
      </c>
      <c r="AH68" s="4" t="s">
        <v>84</v>
      </c>
      <c r="AI68" s="4">
        <v>3.3</v>
      </c>
      <c r="AJ68" s="4" t="s">
        <v>75</v>
      </c>
      <c r="AK68" s="64">
        <v>11.566666666666666</v>
      </c>
      <c r="AL68" s="67">
        <v>0</v>
      </c>
      <c r="AM68" s="13">
        <v>28.074670780480929</v>
      </c>
      <c r="AN68" s="13">
        <v>22.941310910821329</v>
      </c>
      <c r="AO68" s="14">
        <v>3</v>
      </c>
      <c r="AP68" s="14">
        <v>1</v>
      </c>
      <c r="AQ68" s="13">
        <f>Table13[[#This Row],[Share of Domestic Debt (2023)]]-Table13[[#This Row],[Share of Domestic Debt (2005)]]</f>
        <v>-5.1333598696595999</v>
      </c>
      <c r="AR68" s="35" t="s">
        <v>112</v>
      </c>
      <c r="AS68" s="4" t="s">
        <v>116</v>
      </c>
      <c r="AT68" s="4">
        <v>1</v>
      </c>
      <c r="AU68" s="4">
        <v>47.3</v>
      </c>
      <c r="AV68" s="4">
        <v>0</v>
      </c>
      <c r="AW68" s="4">
        <v>16.5</v>
      </c>
      <c r="AX68" s="4">
        <v>17.5</v>
      </c>
      <c r="AY68" s="4">
        <v>0</v>
      </c>
      <c r="AZ68" s="4">
        <v>18.600000000000001</v>
      </c>
      <c r="BA68" s="34">
        <v>1.7286981926769598</v>
      </c>
      <c r="BB68" s="13">
        <v>4.0195668729275642</v>
      </c>
      <c r="BC68" s="13">
        <v>6.1088553620911732</v>
      </c>
      <c r="BD68" s="13">
        <v>3.0327423506448183</v>
      </c>
      <c r="BE68" s="14">
        <v>2</v>
      </c>
      <c r="BF68" s="14">
        <v>1</v>
      </c>
      <c r="BG68" s="14">
        <v>1</v>
      </c>
      <c r="BH68" s="14">
        <v>3</v>
      </c>
      <c r="BI68" s="14" t="s">
        <v>100</v>
      </c>
    </row>
    <row r="69" spans="1:61" ht="16" x14ac:dyDescent="0.35">
      <c r="A69" t="s">
        <v>211</v>
      </c>
      <c r="C69" s="4">
        <v>1</v>
      </c>
      <c r="D69" s="4" t="s">
        <v>69</v>
      </c>
      <c r="E69" s="4"/>
      <c r="F69" s="4">
        <v>1</v>
      </c>
      <c r="G69" s="4">
        <v>1</v>
      </c>
      <c r="H69" s="4"/>
      <c r="I69" s="55"/>
      <c r="J69" s="56"/>
      <c r="K69" s="4">
        <v>1</v>
      </c>
      <c r="L69" s="4"/>
      <c r="M69" s="4">
        <v>2</v>
      </c>
      <c r="N69" s="4">
        <v>1</v>
      </c>
      <c r="O69" s="4">
        <v>1</v>
      </c>
      <c r="P69" s="4"/>
      <c r="Q69" s="29"/>
      <c r="R69" s="4"/>
      <c r="S69" s="32"/>
      <c r="T69" s="29">
        <v>1</v>
      </c>
      <c r="U69" s="4"/>
      <c r="V69" s="29"/>
      <c r="W69" s="4">
        <v>1</v>
      </c>
      <c r="X69" s="4">
        <v>1</v>
      </c>
      <c r="Y69" s="29"/>
      <c r="Z69" s="4"/>
      <c r="AA69" s="4" t="s">
        <v>142</v>
      </c>
      <c r="AB69" s="4" t="s">
        <v>142</v>
      </c>
      <c r="AC69" s="23" t="s">
        <v>142</v>
      </c>
      <c r="AD69" s="23" t="s">
        <v>72</v>
      </c>
      <c r="AE69" s="24" t="s">
        <v>76</v>
      </c>
      <c r="AF69" s="4" t="s">
        <v>74</v>
      </c>
      <c r="AG69" s="4">
        <v>2.99</v>
      </c>
      <c r="AH69" s="4" t="s">
        <v>76</v>
      </c>
      <c r="AI69" s="4">
        <v>1.84</v>
      </c>
      <c r="AJ69" s="4" t="s">
        <v>76</v>
      </c>
      <c r="AK69" s="62" t="s">
        <v>76</v>
      </c>
      <c r="AL69" s="67" t="s">
        <v>76</v>
      </c>
      <c r="AM69" s="13">
        <v>33.175500511096303</v>
      </c>
      <c r="AN69" s="13">
        <v>57.347225188868364</v>
      </c>
      <c r="AO69" s="14">
        <v>3</v>
      </c>
      <c r="AP69" s="14">
        <v>4</v>
      </c>
      <c r="AQ69" s="13">
        <f>Table13[[#This Row],[Share of Domestic Debt (2023)]]-Table13[[#This Row],[Share of Domestic Debt (2005)]]</f>
        <v>24.171724677772062</v>
      </c>
      <c r="AR69" s="35" t="s">
        <v>94</v>
      </c>
      <c r="AS69" s="4" t="s">
        <v>77</v>
      </c>
      <c r="AT69" s="4">
        <v>0</v>
      </c>
      <c r="AU69" s="4">
        <v>3</v>
      </c>
      <c r="AV69" s="4">
        <v>0</v>
      </c>
      <c r="AW69" s="4">
        <v>48.8</v>
      </c>
      <c r="AX69" s="4">
        <v>24.5</v>
      </c>
      <c r="AY69" s="4">
        <v>0</v>
      </c>
      <c r="AZ69" s="4">
        <v>23.7</v>
      </c>
      <c r="BA69" s="34">
        <v>5.2639325671246535</v>
      </c>
      <c r="BB69" s="13">
        <v>6.1600587895348928</v>
      </c>
      <c r="BC69" s="13">
        <v>23.830561980848454</v>
      </c>
      <c r="BD69" s="13">
        <v>25.637437224623522</v>
      </c>
      <c r="BE69" s="14">
        <v>3</v>
      </c>
      <c r="BF69" s="14">
        <v>4</v>
      </c>
      <c r="BG69" s="14">
        <v>3</v>
      </c>
      <c r="BH69" s="14">
        <v>4</v>
      </c>
      <c r="BI69" s="14" t="s">
        <v>95</v>
      </c>
    </row>
    <row r="70" spans="1:61" ht="16" customHeight="1" x14ac:dyDescent="0.35">
      <c r="A70" t="s">
        <v>212</v>
      </c>
      <c r="B70">
        <v>1</v>
      </c>
      <c r="C70" s="4">
        <v>1</v>
      </c>
      <c r="D70" s="4" t="s">
        <v>89</v>
      </c>
      <c r="E70" s="4"/>
      <c r="F70" s="4">
        <v>1</v>
      </c>
      <c r="G70" s="4"/>
      <c r="H70" s="4"/>
      <c r="I70" s="55"/>
      <c r="J70" s="56"/>
      <c r="K70" s="4">
        <v>1</v>
      </c>
      <c r="L70" s="4">
        <v>1</v>
      </c>
      <c r="M70" s="4">
        <v>2</v>
      </c>
      <c r="N70" s="4">
        <v>1</v>
      </c>
      <c r="O70" s="4">
        <v>1</v>
      </c>
      <c r="P70" s="4"/>
      <c r="Q70" s="29">
        <v>1</v>
      </c>
      <c r="R70" s="4">
        <v>2005</v>
      </c>
      <c r="S70" s="33">
        <v>1</v>
      </c>
      <c r="T70" s="29">
        <v>1</v>
      </c>
      <c r="U70" s="4"/>
      <c r="V70" s="29">
        <v>1</v>
      </c>
      <c r="W70" s="4">
        <v>1</v>
      </c>
      <c r="X70" s="4">
        <v>1</v>
      </c>
      <c r="Y70" s="29"/>
      <c r="Z70" s="4"/>
      <c r="AA70" s="4" t="s">
        <v>127</v>
      </c>
      <c r="AB70" s="4" t="s">
        <v>127</v>
      </c>
      <c r="AC70" s="23" t="s">
        <v>82</v>
      </c>
      <c r="AD70" s="23" t="s">
        <v>123</v>
      </c>
      <c r="AE70" s="24" t="s">
        <v>111</v>
      </c>
      <c r="AF70" s="4" t="s">
        <v>84</v>
      </c>
      <c r="AG70" s="4">
        <v>3.46</v>
      </c>
      <c r="AH70" s="4" t="s">
        <v>74</v>
      </c>
      <c r="AI70" s="4">
        <v>3.24</v>
      </c>
      <c r="AJ70" s="4" t="s">
        <v>103</v>
      </c>
      <c r="AK70" s="64">
        <v>8.6666666666666679</v>
      </c>
      <c r="AL70" s="67">
        <v>1.3966666666666683</v>
      </c>
      <c r="AM70" s="13">
        <v>52.01925453465001</v>
      </c>
      <c r="AN70" s="13">
        <v>45.442133420227513</v>
      </c>
      <c r="AO70" s="14">
        <v>4</v>
      </c>
      <c r="AP70" s="14">
        <v>3</v>
      </c>
      <c r="AQ70" s="13">
        <f>Table13[[#This Row],[Share of Domestic Debt (2023)]]-Table13[[#This Row],[Share of Domestic Debt (2005)]]</f>
        <v>-6.5771211144224964</v>
      </c>
      <c r="AR70" s="35" t="s">
        <v>112</v>
      </c>
      <c r="AS70" s="4" t="s">
        <v>124</v>
      </c>
      <c r="AT70" s="4">
        <v>1</v>
      </c>
      <c r="AU70" s="4">
        <v>35.299999999999997</v>
      </c>
      <c r="AV70" s="4">
        <v>38.200000000000003</v>
      </c>
      <c r="AW70" s="4">
        <v>6</v>
      </c>
      <c r="AX70" s="4">
        <v>10.4</v>
      </c>
      <c r="AY70" s="4">
        <v>1.3</v>
      </c>
      <c r="AZ70" s="4">
        <v>8.8000000000000007</v>
      </c>
      <c r="BA70" s="34">
        <v>6.8475234311039381</v>
      </c>
      <c r="BB70" s="13">
        <v>11.577584813854992</v>
      </c>
      <c r="BC70" s="13">
        <v>10.941602586606608</v>
      </c>
      <c r="BD70" s="13">
        <v>25.37328787860746</v>
      </c>
      <c r="BE70" s="14">
        <v>4</v>
      </c>
      <c r="BF70" s="14">
        <v>4</v>
      </c>
      <c r="BG70" s="14">
        <v>3</v>
      </c>
      <c r="BH70" s="14">
        <v>4</v>
      </c>
      <c r="BI70" s="14" t="s">
        <v>95</v>
      </c>
    </row>
    <row r="71" spans="1:61" ht="16" x14ac:dyDescent="0.35">
      <c r="A71" t="s">
        <v>213</v>
      </c>
      <c r="C71" s="4">
        <v>1</v>
      </c>
      <c r="D71" s="4" t="s">
        <v>89</v>
      </c>
      <c r="E71" s="4"/>
      <c r="F71" s="4">
        <v>1</v>
      </c>
      <c r="G71" s="4">
        <v>1</v>
      </c>
      <c r="H71" s="4"/>
      <c r="I71" s="59"/>
      <c r="J71" s="60"/>
      <c r="K71" s="4">
        <v>0</v>
      </c>
      <c r="L71" s="4"/>
      <c r="M71" s="4"/>
      <c r="N71" s="4">
        <v>0</v>
      </c>
      <c r="O71" s="4">
        <v>0</v>
      </c>
      <c r="P71" s="4"/>
      <c r="Q71" s="29"/>
      <c r="R71" s="4"/>
      <c r="S71" s="32">
        <v>1</v>
      </c>
      <c r="T71" s="29">
        <v>0</v>
      </c>
      <c r="U71" s="4">
        <v>0</v>
      </c>
      <c r="V71" s="29"/>
      <c r="W71" s="4" t="s">
        <v>126</v>
      </c>
      <c r="X71" s="4">
        <v>2</v>
      </c>
      <c r="Y71" s="29" t="s">
        <v>70</v>
      </c>
      <c r="Z71" s="4"/>
      <c r="AA71" s="4" t="s">
        <v>127</v>
      </c>
      <c r="AB71" s="4" t="s">
        <v>127</v>
      </c>
      <c r="AC71" s="23" t="s">
        <v>132</v>
      </c>
      <c r="AD71" s="23" t="s">
        <v>123</v>
      </c>
      <c r="AE71" s="24" t="s">
        <v>197</v>
      </c>
      <c r="AF71" s="4" t="s">
        <v>74</v>
      </c>
      <c r="AG71" s="4">
        <v>2.23</v>
      </c>
      <c r="AH71" s="4" t="s">
        <v>74</v>
      </c>
      <c r="AI71" s="4">
        <v>2.98</v>
      </c>
      <c r="AJ71" s="4" t="s">
        <v>75</v>
      </c>
      <c r="AK71" s="65">
        <v>5.9</v>
      </c>
      <c r="AL71" s="69">
        <v>4.1000000000000014</v>
      </c>
      <c r="AM71" s="13">
        <v>0</v>
      </c>
      <c r="AN71" s="13">
        <v>75.878022329268191</v>
      </c>
      <c r="AO71" s="14">
        <v>1</v>
      </c>
      <c r="AP71" s="14">
        <v>4</v>
      </c>
      <c r="AQ71" s="13">
        <f>Table13[[#This Row],[Share of Domestic Debt (2023)]]-Table13[[#This Row],[Share of Domestic Debt (2005)]]</f>
        <v>75.878022329268191</v>
      </c>
      <c r="AR71" s="39" t="s">
        <v>104</v>
      </c>
      <c r="AS71" s="4" t="s">
        <v>116</v>
      </c>
      <c r="AT71" s="4">
        <v>1</v>
      </c>
      <c r="AU71" s="4">
        <v>32</v>
      </c>
      <c r="AV71" s="4">
        <v>11.7</v>
      </c>
      <c r="AW71" s="4">
        <v>25.3</v>
      </c>
      <c r="AX71" s="4">
        <v>20.2</v>
      </c>
      <c r="AY71" s="4">
        <v>1.9</v>
      </c>
      <c r="AZ71" s="4">
        <v>8.9</v>
      </c>
      <c r="BA71" s="34">
        <v>11.999073708525463</v>
      </c>
      <c r="BB71" s="13">
        <v>24.194779870746316</v>
      </c>
      <c r="BC71" s="13">
        <v>3.7532431769455803</v>
      </c>
      <c r="BD71" s="13">
        <v>5.176067633088409</v>
      </c>
      <c r="BE71" s="14">
        <v>4</v>
      </c>
      <c r="BF71" s="14">
        <v>2</v>
      </c>
      <c r="BG71" s="14">
        <v>4</v>
      </c>
      <c r="BH71" s="38">
        <v>2</v>
      </c>
      <c r="BI71" s="38" t="s">
        <v>130</v>
      </c>
    </row>
  </sheetData>
  <conditionalFormatting sqref="AK2:AK71">
    <cfRule type="aboveAverage" dxfId="2" priority="2" aboveAverage="0"/>
    <cfRule type="aboveAverage" dxfId="1" priority="3"/>
  </conditionalFormatting>
  <conditionalFormatting sqref="AL3:AL71">
    <cfRule type="cellIs" dxfId="0" priority="1" operator="greaterThan">
      <formula>0</formula>
    </cfRule>
  </conditionalFormatting>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6D8FA-AE7C-494A-8BDE-3F0DC7235C89}">
  <sheetPr>
    <tabColor rgb="FF92D050"/>
    <pageSetUpPr fitToPage="1"/>
  </sheetPr>
  <dimension ref="C4:Y46"/>
  <sheetViews>
    <sheetView topLeftCell="A4" zoomScale="60" zoomScaleNormal="60" workbookViewId="0">
      <selection activeCell="AI14" sqref="AI14"/>
    </sheetView>
  </sheetViews>
  <sheetFormatPr defaultColWidth="8.7265625" defaultRowHeight="12.5" x14ac:dyDescent="0.25"/>
  <cols>
    <col min="1" max="2" width="8.7265625" style="16"/>
    <col min="3" max="3" width="23.1796875" style="16" customWidth="1"/>
    <col min="4" max="5" width="35.54296875" style="16" customWidth="1"/>
    <col min="6" max="7" width="18.1796875" style="16" customWidth="1"/>
    <col min="8" max="8" width="1.1796875" style="16" customWidth="1"/>
    <col min="9" max="9" width="8.7265625" style="16"/>
    <col min="10" max="11" width="23.1796875" style="16" hidden="1" customWidth="1"/>
    <col min="12" max="12" width="35.54296875" style="16" hidden="1" customWidth="1"/>
    <col min="13" max="13" width="36.26953125" style="16" hidden="1" customWidth="1"/>
    <col min="14" max="15" width="35.54296875" style="16" hidden="1" customWidth="1"/>
    <col min="16" max="16" width="3.1796875" style="16" hidden="1" customWidth="1"/>
    <col min="17" max="18" width="0" style="16" hidden="1" customWidth="1"/>
    <col min="19" max="20" width="8.7265625" style="16"/>
    <col min="21" max="21" width="18" style="16" customWidth="1"/>
    <col min="22" max="23" width="35.7265625" style="16" customWidth="1"/>
    <col min="24" max="24" width="17.81640625" style="16" customWidth="1"/>
    <col min="25" max="25" width="20.26953125" style="16" customWidth="1"/>
    <col min="26" max="16384" width="8.7265625" style="16"/>
  </cols>
  <sheetData>
    <row r="4" spans="3:25" ht="35" x14ac:dyDescent="0.9">
      <c r="C4" s="15"/>
      <c r="K4" s="15"/>
    </row>
    <row r="5" spans="3:25" ht="3" customHeight="1" x14ac:dyDescent="0.25"/>
    <row r="6" spans="3:25" ht="19.5" customHeight="1" x14ac:dyDescent="0.25"/>
    <row r="7" spans="3:25" ht="22.5" hidden="1" customHeight="1" x14ac:dyDescent="0.25"/>
    <row r="8" spans="3:25" ht="76.5" customHeight="1" x14ac:dyDescent="0.25">
      <c r="D8" s="21" t="s">
        <v>252</v>
      </c>
      <c r="L8" s="21"/>
      <c r="V8" s="70" t="s">
        <v>253</v>
      </c>
    </row>
    <row r="9" spans="3:25" ht="59.25" customHeight="1" x14ac:dyDescent="0.6">
      <c r="D9" s="108" t="s">
        <v>254</v>
      </c>
      <c r="E9" s="109"/>
      <c r="F9" s="108" t="s">
        <v>255</v>
      </c>
      <c r="G9" s="109"/>
      <c r="L9" s="70" t="s">
        <v>256</v>
      </c>
      <c r="M9" s="70"/>
      <c r="N9" s="71"/>
      <c r="O9" s="72"/>
      <c r="V9" s="132" t="s">
        <v>34</v>
      </c>
      <c r="W9" s="132"/>
      <c r="X9" s="132"/>
      <c r="Y9" s="132"/>
    </row>
    <row r="10" spans="3:25" ht="49.5" customHeight="1" x14ac:dyDescent="0.6">
      <c r="D10" s="36" t="s">
        <v>257</v>
      </c>
      <c r="E10" s="36" t="s">
        <v>258</v>
      </c>
      <c r="F10" s="36"/>
      <c r="G10" s="37"/>
      <c r="L10" s="110" t="s">
        <v>259</v>
      </c>
      <c r="M10" s="110"/>
      <c r="N10" s="110" t="s">
        <v>260</v>
      </c>
      <c r="O10" s="111"/>
      <c r="T10" s="73"/>
      <c r="U10" s="74"/>
      <c r="V10" s="36" t="s">
        <v>261</v>
      </c>
      <c r="W10" s="36" t="s">
        <v>262</v>
      </c>
      <c r="X10" s="110" t="s">
        <v>263</v>
      </c>
      <c r="Y10" s="110"/>
    </row>
    <row r="11" spans="3:25" ht="44.15" customHeight="1" x14ac:dyDescent="0.25">
      <c r="C11" s="119" t="s">
        <v>264</v>
      </c>
      <c r="D11" s="112" t="s">
        <v>265</v>
      </c>
      <c r="E11" s="112" t="s">
        <v>266</v>
      </c>
      <c r="F11" s="113" t="s">
        <v>267</v>
      </c>
      <c r="G11" s="114"/>
      <c r="K11" s="119" t="s">
        <v>264</v>
      </c>
      <c r="L11" s="120" t="s">
        <v>268</v>
      </c>
      <c r="M11" s="127"/>
      <c r="N11" s="113" t="s">
        <v>269</v>
      </c>
      <c r="O11" s="114"/>
      <c r="T11" s="133" t="s">
        <v>270</v>
      </c>
      <c r="U11" s="119" t="s">
        <v>271</v>
      </c>
      <c r="V11" s="112" t="s">
        <v>272</v>
      </c>
      <c r="W11" s="112" t="s">
        <v>273</v>
      </c>
      <c r="X11" s="113" t="s">
        <v>274</v>
      </c>
      <c r="Y11" s="114"/>
    </row>
    <row r="12" spans="3:25" ht="44.15" customHeight="1" x14ac:dyDescent="0.25">
      <c r="C12" s="119"/>
      <c r="D12" s="112"/>
      <c r="E12" s="112"/>
      <c r="F12" s="115"/>
      <c r="G12" s="116"/>
      <c r="K12" s="119"/>
      <c r="L12" s="128"/>
      <c r="M12" s="129"/>
      <c r="N12" s="115"/>
      <c r="O12" s="116"/>
      <c r="T12" s="133"/>
      <c r="U12" s="119"/>
      <c r="V12" s="112"/>
      <c r="W12" s="112"/>
      <c r="X12" s="115"/>
      <c r="Y12" s="116"/>
    </row>
    <row r="13" spans="3:25" ht="44.15" customHeight="1" x14ac:dyDescent="0.25">
      <c r="C13" s="119"/>
      <c r="D13" s="112"/>
      <c r="E13" s="112"/>
      <c r="F13" s="115"/>
      <c r="G13" s="116"/>
      <c r="K13" s="119"/>
      <c r="L13" s="128"/>
      <c r="M13" s="129"/>
      <c r="N13" s="115"/>
      <c r="O13" s="116"/>
      <c r="T13" s="133"/>
      <c r="U13" s="119"/>
      <c r="V13" s="112"/>
      <c r="W13" s="112"/>
      <c r="X13" s="115"/>
      <c r="Y13" s="116"/>
    </row>
    <row r="14" spans="3:25" ht="44.15" customHeight="1" x14ac:dyDescent="0.25">
      <c r="C14" s="119"/>
      <c r="D14" s="112"/>
      <c r="E14" s="112"/>
      <c r="F14" s="115"/>
      <c r="G14" s="116"/>
      <c r="K14" s="119"/>
      <c r="L14" s="128"/>
      <c r="M14" s="129"/>
      <c r="N14" s="115"/>
      <c r="O14" s="116"/>
      <c r="T14" s="133"/>
      <c r="U14" s="119"/>
      <c r="V14" s="112"/>
      <c r="W14" s="112"/>
      <c r="X14" s="115"/>
      <c r="Y14" s="116"/>
    </row>
    <row r="15" spans="3:25" ht="44.15" customHeight="1" x14ac:dyDescent="0.25">
      <c r="C15" s="119"/>
      <c r="D15" s="112"/>
      <c r="E15" s="112"/>
      <c r="F15" s="115"/>
      <c r="G15" s="116"/>
      <c r="K15" s="119"/>
      <c r="L15" s="128"/>
      <c r="M15" s="129"/>
      <c r="N15" s="115"/>
      <c r="O15" s="116"/>
      <c r="T15" s="133"/>
      <c r="U15" s="119"/>
      <c r="V15" s="112"/>
      <c r="W15" s="112"/>
      <c r="X15" s="115"/>
      <c r="Y15" s="116"/>
    </row>
    <row r="16" spans="3:25" ht="44.15" customHeight="1" x14ac:dyDescent="0.25">
      <c r="C16" s="119"/>
      <c r="D16" s="112"/>
      <c r="E16" s="112"/>
      <c r="F16" s="115"/>
      <c r="G16" s="116"/>
      <c r="K16" s="119"/>
      <c r="L16" s="128"/>
      <c r="M16" s="129"/>
      <c r="N16" s="115"/>
      <c r="O16" s="116"/>
      <c r="T16" s="133"/>
      <c r="U16" s="119"/>
      <c r="V16" s="112"/>
      <c r="W16" s="112"/>
      <c r="X16" s="115"/>
      <c r="Y16" s="116"/>
    </row>
    <row r="17" spans="3:25" ht="44.15" customHeight="1" x14ac:dyDescent="0.25">
      <c r="C17" s="119"/>
      <c r="D17" s="112"/>
      <c r="E17" s="112"/>
      <c r="F17" s="115"/>
      <c r="G17" s="116"/>
      <c r="K17" s="119"/>
      <c r="L17" s="128"/>
      <c r="M17" s="129"/>
      <c r="N17" s="115"/>
      <c r="O17" s="116"/>
      <c r="T17" s="133"/>
      <c r="U17" s="119"/>
      <c r="V17" s="112"/>
      <c r="W17" s="112"/>
      <c r="X17" s="115"/>
      <c r="Y17" s="116"/>
    </row>
    <row r="18" spans="3:25" ht="44.15" customHeight="1" x14ac:dyDescent="0.25">
      <c r="C18" s="119"/>
      <c r="D18" s="112"/>
      <c r="E18" s="112"/>
      <c r="F18" s="117"/>
      <c r="G18" s="118"/>
      <c r="K18" s="119"/>
      <c r="L18" s="130"/>
      <c r="M18" s="131"/>
      <c r="N18" s="117"/>
      <c r="O18" s="118"/>
      <c r="T18" s="133"/>
      <c r="U18" s="119"/>
      <c r="V18" s="112"/>
      <c r="W18" s="112"/>
      <c r="X18" s="117"/>
      <c r="Y18" s="118"/>
    </row>
    <row r="19" spans="3:25" ht="44.15" customHeight="1" x14ac:dyDescent="0.25">
      <c r="C19" s="119" t="s">
        <v>275</v>
      </c>
      <c r="D19" s="120" t="s">
        <v>276</v>
      </c>
      <c r="E19" s="120" t="s">
        <v>277</v>
      </c>
      <c r="F19" s="113" t="s">
        <v>278</v>
      </c>
      <c r="G19" s="114"/>
      <c r="K19" s="119" t="s">
        <v>275</v>
      </c>
      <c r="L19" s="120" t="s">
        <v>279</v>
      </c>
      <c r="M19" s="121"/>
      <c r="N19" s="113" t="s">
        <v>280</v>
      </c>
      <c r="O19" s="114"/>
      <c r="T19" s="133"/>
      <c r="U19" s="119" t="s">
        <v>281</v>
      </c>
      <c r="V19" s="120" t="s">
        <v>282</v>
      </c>
      <c r="W19" s="120" t="s">
        <v>283</v>
      </c>
      <c r="X19" s="113" t="s">
        <v>284</v>
      </c>
      <c r="Y19" s="114"/>
    </row>
    <row r="20" spans="3:25" ht="44.15" customHeight="1" x14ac:dyDescent="0.25">
      <c r="C20" s="119"/>
      <c r="D20" s="128"/>
      <c r="E20" s="128"/>
      <c r="F20" s="115"/>
      <c r="G20" s="116"/>
      <c r="K20" s="119"/>
      <c r="L20" s="122"/>
      <c r="M20" s="123"/>
      <c r="N20" s="115"/>
      <c r="O20" s="116"/>
      <c r="T20" s="133"/>
      <c r="U20" s="119"/>
      <c r="V20" s="128"/>
      <c r="W20" s="128"/>
      <c r="X20" s="115"/>
      <c r="Y20" s="116"/>
    </row>
    <row r="21" spans="3:25" ht="44.15" customHeight="1" x14ac:dyDescent="0.25">
      <c r="C21" s="119"/>
      <c r="D21" s="128"/>
      <c r="E21" s="128"/>
      <c r="F21" s="115"/>
      <c r="G21" s="116"/>
      <c r="K21" s="119"/>
      <c r="L21" s="122"/>
      <c r="M21" s="123"/>
      <c r="N21" s="115"/>
      <c r="O21" s="116"/>
      <c r="T21" s="133"/>
      <c r="U21" s="119"/>
      <c r="V21" s="128"/>
      <c r="W21" s="128"/>
      <c r="X21" s="115"/>
      <c r="Y21" s="116"/>
    </row>
    <row r="22" spans="3:25" ht="44.15" customHeight="1" x14ac:dyDescent="0.25">
      <c r="C22" s="119"/>
      <c r="D22" s="128"/>
      <c r="E22" s="128"/>
      <c r="F22" s="115"/>
      <c r="G22" s="116"/>
      <c r="K22" s="119"/>
      <c r="L22" s="122"/>
      <c r="M22" s="123"/>
      <c r="N22" s="115"/>
      <c r="O22" s="116"/>
      <c r="T22" s="133"/>
      <c r="U22" s="119"/>
      <c r="V22" s="128"/>
      <c r="W22" s="128"/>
      <c r="X22" s="115"/>
      <c r="Y22" s="116"/>
    </row>
    <row r="23" spans="3:25" ht="44.15" customHeight="1" x14ac:dyDescent="0.25">
      <c r="C23" s="119"/>
      <c r="D23" s="128"/>
      <c r="E23" s="128"/>
      <c r="F23" s="115"/>
      <c r="G23" s="116"/>
      <c r="K23" s="119"/>
      <c r="L23" s="122"/>
      <c r="M23" s="123"/>
      <c r="N23" s="115"/>
      <c r="O23" s="116"/>
      <c r="T23" s="133"/>
      <c r="U23" s="119"/>
      <c r="V23" s="128"/>
      <c r="W23" s="128"/>
      <c r="X23" s="115"/>
      <c r="Y23" s="116"/>
    </row>
    <row r="24" spans="3:25" ht="44.15" customHeight="1" x14ac:dyDescent="0.25">
      <c r="C24" s="119"/>
      <c r="D24" s="128"/>
      <c r="E24" s="128"/>
      <c r="F24" s="115"/>
      <c r="G24" s="116"/>
      <c r="K24" s="119"/>
      <c r="L24" s="122"/>
      <c r="M24" s="123"/>
      <c r="N24" s="115"/>
      <c r="O24" s="116"/>
      <c r="T24" s="133"/>
      <c r="U24" s="119"/>
      <c r="V24" s="128"/>
      <c r="W24" s="128"/>
      <c r="X24" s="115"/>
      <c r="Y24" s="116"/>
    </row>
    <row r="25" spans="3:25" ht="44.15" customHeight="1" x14ac:dyDescent="0.25">
      <c r="C25" s="119"/>
      <c r="D25" s="128"/>
      <c r="E25" s="128"/>
      <c r="F25" s="115"/>
      <c r="G25" s="116"/>
      <c r="K25" s="119"/>
      <c r="L25" s="122"/>
      <c r="M25" s="123"/>
      <c r="N25" s="115"/>
      <c r="O25" s="116"/>
      <c r="T25" s="133"/>
      <c r="U25" s="119"/>
      <c r="V25" s="128"/>
      <c r="W25" s="128"/>
      <c r="X25" s="115"/>
      <c r="Y25" s="116"/>
    </row>
    <row r="26" spans="3:25" ht="44.15" customHeight="1" x14ac:dyDescent="0.25">
      <c r="C26" s="119"/>
      <c r="D26" s="130"/>
      <c r="E26" s="130"/>
      <c r="F26" s="117"/>
      <c r="G26" s="118"/>
      <c r="K26" s="119"/>
      <c r="L26" s="124"/>
      <c r="M26" s="125"/>
      <c r="N26" s="117"/>
      <c r="O26" s="118"/>
      <c r="T26" s="133"/>
      <c r="U26" s="119"/>
      <c r="V26" s="130"/>
      <c r="W26" s="130"/>
      <c r="X26" s="117"/>
      <c r="Y26" s="118"/>
    </row>
    <row r="27" spans="3:25" ht="171.75" customHeight="1" x14ac:dyDescent="0.25">
      <c r="C27" s="17"/>
      <c r="D27" s="126" t="s">
        <v>285</v>
      </c>
      <c r="E27" s="126"/>
      <c r="F27" s="126"/>
      <c r="G27" s="126"/>
      <c r="H27" s="18"/>
      <c r="K27" s="17"/>
      <c r="L27" s="126" t="s">
        <v>286</v>
      </c>
      <c r="M27" s="126"/>
      <c r="N27" s="126"/>
      <c r="O27" s="126"/>
      <c r="T27" s="133"/>
      <c r="U27" s="119" t="s">
        <v>287</v>
      </c>
      <c r="V27" s="120"/>
      <c r="W27" s="120" t="s">
        <v>288</v>
      </c>
      <c r="X27" s="113" t="s">
        <v>289</v>
      </c>
      <c r="Y27" s="114"/>
    </row>
    <row r="28" spans="3:25" ht="16" x14ac:dyDescent="0.25">
      <c r="C28" s="18"/>
      <c r="H28" s="18"/>
      <c r="K28" s="18"/>
      <c r="T28" s="133"/>
      <c r="U28" s="119"/>
      <c r="V28" s="128"/>
      <c r="W28" s="128"/>
      <c r="X28" s="115"/>
      <c r="Y28" s="116"/>
    </row>
    <row r="29" spans="3:25" ht="16" x14ac:dyDescent="0.25">
      <c r="C29" s="18"/>
      <c r="D29" s="18"/>
      <c r="E29" s="18"/>
      <c r="F29" s="18"/>
      <c r="G29" s="18"/>
      <c r="H29" s="18"/>
      <c r="K29" s="18"/>
      <c r="L29" s="18"/>
      <c r="M29" s="18"/>
      <c r="N29" s="18"/>
      <c r="O29" s="18"/>
      <c r="T29" s="133"/>
      <c r="U29" s="119"/>
      <c r="V29" s="128"/>
      <c r="W29" s="128"/>
      <c r="X29" s="115"/>
      <c r="Y29" s="116"/>
    </row>
    <row r="30" spans="3:25" ht="16" x14ac:dyDescent="0.25">
      <c r="C30" s="18"/>
      <c r="D30" s="18"/>
      <c r="E30" s="18"/>
      <c r="F30" s="18"/>
      <c r="G30" s="18"/>
      <c r="H30" s="18"/>
      <c r="K30" s="18"/>
      <c r="L30" s="18"/>
      <c r="M30" s="18"/>
      <c r="N30" s="18"/>
      <c r="O30" s="18"/>
      <c r="T30" s="133"/>
      <c r="U30" s="119"/>
      <c r="V30" s="128"/>
      <c r="W30" s="128"/>
      <c r="X30" s="115"/>
      <c r="Y30" s="116"/>
    </row>
    <row r="31" spans="3:25" ht="26" x14ac:dyDescent="0.25">
      <c r="C31" s="18"/>
      <c r="D31" s="19"/>
      <c r="E31" s="18"/>
      <c r="F31" s="18"/>
      <c r="H31" s="18"/>
      <c r="K31" s="18"/>
      <c r="L31" s="19"/>
      <c r="M31" s="18"/>
      <c r="N31" s="18"/>
      <c r="T31" s="133"/>
      <c r="U31" s="119"/>
      <c r="V31" s="128"/>
      <c r="W31" s="128"/>
      <c r="X31" s="115"/>
      <c r="Y31" s="116"/>
    </row>
    <row r="32" spans="3:25" ht="26" x14ac:dyDescent="0.25">
      <c r="C32" s="18"/>
      <c r="D32" s="19"/>
      <c r="E32" s="18"/>
      <c r="F32" s="18"/>
      <c r="G32" s="18"/>
      <c r="H32" s="18"/>
      <c r="K32" s="18"/>
      <c r="L32" s="19"/>
      <c r="M32" s="18"/>
      <c r="N32" s="18"/>
      <c r="O32" s="18"/>
      <c r="T32" s="133"/>
      <c r="U32" s="119"/>
      <c r="V32" s="128"/>
      <c r="W32" s="128"/>
      <c r="X32" s="115"/>
      <c r="Y32" s="116"/>
    </row>
    <row r="33" spans="3:25" ht="16" x14ac:dyDescent="0.25">
      <c r="C33" s="18"/>
      <c r="E33" s="18"/>
      <c r="F33" s="18"/>
      <c r="G33" s="18"/>
      <c r="H33" s="18"/>
      <c r="K33" s="18"/>
      <c r="M33" s="18"/>
      <c r="N33" s="18"/>
      <c r="O33" s="18"/>
      <c r="T33" s="133"/>
      <c r="U33" s="119"/>
      <c r="V33" s="128"/>
      <c r="W33" s="128"/>
      <c r="X33" s="115"/>
      <c r="Y33" s="116"/>
    </row>
    <row r="34" spans="3:25" ht="26" x14ac:dyDescent="0.25">
      <c r="C34" s="20"/>
      <c r="D34" s="19"/>
      <c r="E34" s="18"/>
      <c r="F34" s="18"/>
      <c r="G34" s="18"/>
      <c r="H34" s="20"/>
      <c r="K34" s="20"/>
      <c r="L34" s="19"/>
      <c r="M34" s="18"/>
      <c r="N34" s="18"/>
      <c r="O34" s="18"/>
      <c r="T34" s="133"/>
      <c r="U34" s="119"/>
      <c r="V34" s="130"/>
      <c r="W34" s="130"/>
      <c r="X34" s="117"/>
      <c r="Y34" s="118"/>
    </row>
    <row r="35" spans="3:25" ht="144" customHeight="1" x14ac:dyDescent="0.25">
      <c r="D35" s="19"/>
      <c r="E35" s="18"/>
      <c r="F35" s="18"/>
      <c r="G35" s="18"/>
      <c r="L35" s="19"/>
      <c r="M35" s="18"/>
      <c r="N35" s="18"/>
      <c r="O35" s="18"/>
      <c r="V35" s="126" t="s">
        <v>290</v>
      </c>
      <c r="W35" s="126"/>
      <c r="X35" s="126"/>
      <c r="Y35" s="126"/>
    </row>
    <row r="36" spans="3:25" ht="14.25" customHeight="1" x14ac:dyDescent="0.25">
      <c r="D36" s="18"/>
      <c r="L36" s="18"/>
    </row>
    <row r="37" spans="3:25" ht="15" customHeight="1" x14ac:dyDescent="0.25"/>
    <row r="38" spans="3:25" ht="15" customHeight="1" x14ac:dyDescent="0.25"/>
    <row r="39" spans="3:25" ht="15" customHeight="1" x14ac:dyDescent="0.25"/>
    <row r="40" spans="3:25" ht="15" customHeight="1" x14ac:dyDescent="0.25"/>
    <row r="41" spans="3:25" ht="15" customHeight="1" x14ac:dyDescent="0.25"/>
    <row r="42" spans="3:25" ht="15" customHeight="1" x14ac:dyDescent="0.25"/>
    <row r="43" spans="3:25" ht="15" customHeight="1" x14ac:dyDescent="0.25"/>
    <row r="44" spans="3:25" ht="15" customHeight="1" x14ac:dyDescent="0.25"/>
    <row r="45" spans="3:25" ht="15" customHeight="1" x14ac:dyDescent="0.25"/>
    <row r="46" spans="3:25" ht="15" customHeight="1" x14ac:dyDescent="0.25"/>
  </sheetData>
  <mergeCells count="36">
    <mergeCell ref="V9:Y9"/>
    <mergeCell ref="T11:T34"/>
    <mergeCell ref="V35:Y35"/>
    <mergeCell ref="V27:V34"/>
    <mergeCell ref="W27:W34"/>
    <mergeCell ref="X27:Y34"/>
    <mergeCell ref="X10:Y10"/>
    <mergeCell ref="U27:U34"/>
    <mergeCell ref="U11:U18"/>
    <mergeCell ref="V11:V18"/>
    <mergeCell ref="W11:W18"/>
    <mergeCell ref="X11:Y18"/>
    <mergeCell ref="U19:U26"/>
    <mergeCell ref="V19:V26"/>
    <mergeCell ref="W19:W26"/>
    <mergeCell ref="X19:Y26"/>
    <mergeCell ref="K19:K26"/>
    <mergeCell ref="L19:M26"/>
    <mergeCell ref="N19:O26"/>
    <mergeCell ref="L27:O27"/>
    <mergeCell ref="C11:C18"/>
    <mergeCell ref="C19:C26"/>
    <mergeCell ref="D27:G27"/>
    <mergeCell ref="K11:K18"/>
    <mergeCell ref="L11:M18"/>
    <mergeCell ref="F11:G18"/>
    <mergeCell ref="F19:G26"/>
    <mergeCell ref="D19:D26"/>
    <mergeCell ref="E19:E26"/>
    <mergeCell ref="D9:E9"/>
    <mergeCell ref="F9:G9"/>
    <mergeCell ref="L10:M10"/>
    <mergeCell ref="N10:O10"/>
    <mergeCell ref="D11:D18"/>
    <mergeCell ref="E11:E18"/>
    <mergeCell ref="N11:O18"/>
  </mergeCells>
  <pageMargins left="0.7" right="0.7" top="0.75" bottom="0.75" header="0.3" footer="0.3"/>
  <pageSetup scale="32" fitToWidth="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33429-39FF-4CEB-B709-0D65A8970023}">
  <dimension ref="B2"/>
  <sheetViews>
    <sheetView showGridLines="0" topLeftCell="A36" workbookViewId="0">
      <selection activeCell="U26" sqref="U26"/>
    </sheetView>
  </sheetViews>
  <sheetFormatPr defaultRowHeight="12.5" x14ac:dyDescent="0.25"/>
  <sheetData>
    <row r="2" spans="2:2" ht="25" x14ac:dyDescent="0.25">
      <c r="B2" s="51" t="s">
        <v>291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546F9-5287-4555-8427-610A3008D4FB}">
  <dimension ref="A1:E20"/>
  <sheetViews>
    <sheetView topLeftCell="B4" workbookViewId="0">
      <selection activeCell="F24" sqref="F24"/>
    </sheetView>
  </sheetViews>
  <sheetFormatPr defaultRowHeight="12.5" x14ac:dyDescent="0.25"/>
  <cols>
    <col min="1" max="1" width="22.54296875" customWidth="1"/>
    <col min="2" max="2" width="58.26953125" customWidth="1"/>
    <col min="3" max="3" width="71" customWidth="1"/>
    <col min="4" max="4" width="29" bestFit="1" customWidth="1"/>
  </cols>
  <sheetData>
    <row r="1" spans="1:5" ht="13" x14ac:dyDescent="0.3">
      <c r="A1" s="40" t="s">
        <v>292</v>
      </c>
      <c r="B1" s="41" t="s">
        <v>293</v>
      </c>
      <c r="C1" s="42" t="s">
        <v>294</v>
      </c>
    </row>
    <row r="2" spans="1:5" ht="25" x14ac:dyDescent="0.25">
      <c r="A2" s="43" t="s">
        <v>295</v>
      </c>
      <c r="B2" s="44" t="s">
        <v>296</v>
      </c>
      <c r="C2" s="45" t="s">
        <v>297</v>
      </c>
    </row>
    <row r="3" spans="1:5" x14ac:dyDescent="0.25">
      <c r="A3" s="43"/>
      <c r="B3" s="44"/>
      <c r="C3" s="45" t="s">
        <v>298</v>
      </c>
    </row>
    <row r="4" spans="1:5" x14ac:dyDescent="0.25">
      <c r="A4" s="43" t="s">
        <v>299</v>
      </c>
      <c r="B4" s="44" t="s">
        <v>300</v>
      </c>
      <c r="C4" s="45" t="s">
        <v>301</v>
      </c>
    </row>
    <row r="5" spans="1:5" x14ac:dyDescent="0.25">
      <c r="A5" s="43" t="s">
        <v>302</v>
      </c>
      <c r="B5" s="44" t="s">
        <v>303</v>
      </c>
      <c r="C5" s="45" t="s">
        <v>304</v>
      </c>
    </row>
    <row r="6" spans="1:5" x14ac:dyDescent="0.25">
      <c r="A6" s="43" t="s">
        <v>302</v>
      </c>
      <c r="B6" s="44" t="s">
        <v>305</v>
      </c>
      <c r="C6" s="45"/>
    </row>
    <row r="7" spans="1:5" x14ac:dyDescent="0.25">
      <c r="A7" s="43" t="s">
        <v>302</v>
      </c>
      <c r="B7" s="44" t="s">
        <v>306</v>
      </c>
      <c r="C7" s="45"/>
    </row>
    <row r="8" spans="1:5" x14ac:dyDescent="0.25">
      <c r="A8" s="43" t="s">
        <v>307</v>
      </c>
      <c r="B8" s="44" t="s">
        <v>308</v>
      </c>
      <c r="C8" s="45"/>
    </row>
    <row r="9" spans="1:5" ht="25" x14ac:dyDescent="0.25">
      <c r="A9" s="43" t="s">
        <v>307</v>
      </c>
      <c r="B9" s="44" t="s">
        <v>309</v>
      </c>
      <c r="C9" s="45"/>
    </row>
    <row r="10" spans="1:5" x14ac:dyDescent="0.25">
      <c r="A10" s="43" t="s">
        <v>310</v>
      </c>
      <c r="B10" s="44" t="s">
        <v>311</v>
      </c>
      <c r="C10" s="45" t="s">
        <v>312</v>
      </c>
    </row>
    <row r="11" spans="1:5" x14ac:dyDescent="0.25">
      <c r="A11" s="43" t="s">
        <v>313</v>
      </c>
      <c r="B11" s="44" t="s">
        <v>16</v>
      </c>
      <c r="C11" s="45" t="s">
        <v>312</v>
      </c>
    </row>
    <row r="12" spans="1:5" ht="25" x14ac:dyDescent="0.25">
      <c r="A12" s="43" t="s">
        <v>313</v>
      </c>
      <c r="B12" s="44" t="s">
        <v>314</v>
      </c>
      <c r="C12" s="45" t="s">
        <v>315</v>
      </c>
      <c r="E12" s="50" t="s">
        <v>316</v>
      </c>
    </row>
    <row r="13" spans="1:5" ht="25" x14ac:dyDescent="0.25">
      <c r="A13" s="43" t="s">
        <v>313</v>
      </c>
      <c r="B13" s="44" t="s">
        <v>317</v>
      </c>
      <c r="C13" s="45" t="s">
        <v>318</v>
      </c>
    </row>
    <row r="14" spans="1:5" ht="37.5" x14ac:dyDescent="0.25">
      <c r="A14" s="43" t="s">
        <v>319</v>
      </c>
      <c r="B14" s="44" t="s">
        <v>320</v>
      </c>
      <c r="C14" s="45"/>
    </row>
    <row r="15" spans="1:5" ht="25" x14ac:dyDescent="0.25">
      <c r="A15" s="43" t="s">
        <v>319</v>
      </c>
      <c r="B15" s="44" t="s">
        <v>321</v>
      </c>
      <c r="C15" s="45" t="s">
        <v>322</v>
      </c>
    </row>
    <row r="16" spans="1:5" x14ac:dyDescent="0.25">
      <c r="A16" s="43" t="s">
        <v>319</v>
      </c>
      <c r="B16" s="44" t="s">
        <v>323</v>
      </c>
      <c r="C16" s="45" t="s">
        <v>324</v>
      </c>
    </row>
    <row r="17" spans="1:4" x14ac:dyDescent="0.25">
      <c r="A17" s="46" t="s">
        <v>319</v>
      </c>
      <c r="B17" s="47" t="s">
        <v>325</v>
      </c>
      <c r="C17" s="48" t="s">
        <v>312</v>
      </c>
      <c r="D17" s="49"/>
    </row>
    <row r="18" spans="1:4" x14ac:dyDescent="0.25">
      <c r="A18" s="44"/>
      <c r="B18" s="44"/>
      <c r="C18" s="44"/>
    </row>
    <row r="19" spans="1:4" x14ac:dyDescent="0.25">
      <c r="A19" s="44"/>
      <c r="B19" s="44"/>
      <c r="C19" s="44"/>
    </row>
    <row r="20" spans="1:4" x14ac:dyDescent="0.25">
      <c r="A20" s="44"/>
      <c r="B20" s="44"/>
      <c r="C20" s="44"/>
    </row>
  </sheetData>
  <autoFilter ref="A1:C17" xr:uid="{2B9546F9-5287-4555-8427-610A3008D4FB}">
    <sortState xmlns:xlrd2="http://schemas.microsoft.com/office/spreadsheetml/2017/richdata2" ref="A2:C17">
      <sortCondition ref="A1:A17"/>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AFB0B-251E-475D-AF21-252A7C22007F}">
  <dimension ref="A1"/>
  <sheetViews>
    <sheetView workbookViewId="0"/>
  </sheetViews>
  <sheetFormatPr defaultRowHeight="12.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B4206-86C8-4929-9005-1B24A464C4A5}">
  <dimension ref="A1:H836"/>
  <sheetViews>
    <sheetView topLeftCell="A266" zoomScale="77" workbookViewId="0">
      <selection activeCell="B783" sqref="B783"/>
    </sheetView>
  </sheetViews>
  <sheetFormatPr defaultRowHeight="12.5" x14ac:dyDescent="0.25"/>
  <cols>
    <col min="1" max="1" width="18.453125" bestFit="1" customWidth="1"/>
    <col min="2" max="2" width="26.54296875" bestFit="1" customWidth="1"/>
    <col min="3" max="3" width="12.26953125" bestFit="1" customWidth="1"/>
    <col min="4" max="4" width="19.81640625" bestFit="1" customWidth="1"/>
    <col min="5" max="5" width="19.54296875" bestFit="1" customWidth="1"/>
    <col min="6" max="6" width="10.81640625" bestFit="1" customWidth="1"/>
    <col min="7" max="7" width="23" bestFit="1" customWidth="1"/>
    <col min="8" max="8" width="22.453125" bestFit="1" customWidth="1"/>
  </cols>
  <sheetData>
    <row r="1" spans="1:8" x14ac:dyDescent="0.25">
      <c r="A1" t="s">
        <v>326</v>
      </c>
      <c r="B1" t="s">
        <v>327</v>
      </c>
      <c r="C1" t="s">
        <v>328</v>
      </c>
      <c r="D1" t="s">
        <v>329</v>
      </c>
      <c r="E1" t="s">
        <v>330</v>
      </c>
      <c r="F1" t="s">
        <v>331</v>
      </c>
      <c r="G1" t="s">
        <v>332</v>
      </c>
      <c r="H1" t="s">
        <v>333</v>
      </c>
    </row>
    <row r="2" spans="1:8" x14ac:dyDescent="0.25">
      <c r="A2" t="s">
        <v>334</v>
      </c>
      <c r="B2" t="s">
        <v>335</v>
      </c>
      <c r="C2" t="s">
        <v>336</v>
      </c>
      <c r="D2" t="s">
        <v>337</v>
      </c>
      <c r="E2" s="1">
        <v>39101</v>
      </c>
      <c r="F2" s="2">
        <v>13200000</v>
      </c>
      <c r="G2" s="1">
        <v>39101</v>
      </c>
      <c r="H2" s="1">
        <v>38894</v>
      </c>
    </row>
    <row r="3" spans="1:8" x14ac:dyDescent="0.25">
      <c r="A3" t="s">
        <v>334</v>
      </c>
      <c r="B3" t="s">
        <v>335</v>
      </c>
      <c r="C3" t="s">
        <v>336</v>
      </c>
      <c r="D3" t="s">
        <v>337</v>
      </c>
      <c r="E3" s="1">
        <v>39170</v>
      </c>
      <c r="F3" s="2">
        <v>11300000</v>
      </c>
      <c r="G3" s="1">
        <v>39170</v>
      </c>
      <c r="H3" s="1">
        <v>38894</v>
      </c>
    </row>
    <row r="4" spans="1:8" x14ac:dyDescent="0.25">
      <c r="A4" t="s">
        <v>334</v>
      </c>
      <c r="B4" t="s">
        <v>335</v>
      </c>
      <c r="C4" t="s">
        <v>336</v>
      </c>
      <c r="D4" t="s">
        <v>337</v>
      </c>
      <c r="E4" s="1">
        <v>39286</v>
      </c>
      <c r="F4" s="2">
        <v>11300000</v>
      </c>
      <c r="G4" s="1">
        <v>39286</v>
      </c>
      <c r="H4" s="1">
        <v>38894</v>
      </c>
    </row>
    <row r="5" spans="1:8" x14ac:dyDescent="0.25">
      <c r="A5" t="s">
        <v>334</v>
      </c>
      <c r="B5" t="s">
        <v>335</v>
      </c>
      <c r="C5" t="s">
        <v>336</v>
      </c>
      <c r="D5" t="s">
        <v>337</v>
      </c>
      <c r="E5" s="1">
        <v>39506</v>
      </c>
      <c r="F5" s="2">
        <v>11300000</v>
      </c>
      <c r="G5" s="1">
        <v>39506</v>
      </c>
      <c r="H5" s="1">
        <v>38894</v>
      </c>
    </row>
    <row r="6" spans="1:8" x14ac:dyDescent="0.25">
      <c r="A6" t="s">
        <v>334</v>
      </c>
      <c r="B6" t="s">
        <v>335</v>
      </c>
      <c r="C6" t="s">
        <v>336</v>
      </c>
      <c r="D6" t="s">
        <v>337</v>
      </c>
      <c r="E6" s="1">
        <v>39644</v>
      </c>
      <c r="F6" s="2">
        <v>11300000</v>
      </c>
      <c r="G6" s="1">
        <v>39644</v>
      </c>
      <c r="H6" s="1">
        <v>38894</v>
      </c>
    </row>
    <row r="7" spans="1:8" x14ac:dyDescent="0.25">
      <c r="A7" t="s">
        <v>334</v>
      </c>
      <c r="B7" t="s">
        <v>335</v>
      </c>
      <c r="C7" t="s">
        <v>336</v>
      </c>
      <c r="D7" t="s">
        <v>337</v>
      </c>
      <c r="E7" s="1">
        <v>39932</v>
      </c>
      <c r="F7" s="2">
        <v>11300000</v>
      </c>
      <c r="G7" s="1">
        <v>39932</v>
      </c>
      <c r="H7" s="1">
        <v>38894</v>
      </c>
    </row>
    <row r="8" spans="1:8" x14ac:dyDescent="0.25">
      <c r="A8" t="s">
        <v>334</v>
      </c>
      <c r="B8" t="s">
        <v>335</v>
      </c>
      <c r="C8" t="s">
        <v>336</v>
      </c>
      <c r="D8" t="s">
        <v>337</v>
      </c>
      <c r="E8" s="1">
        <v>40199</v>
      </c>
      <c r="F8" s="2">
        <v>5650000</v>
      </c>
      <c r="G8" s="1">
        <v>40199</v>
      </c>
      <c r="H8" s="1">
        <v>38894</v>
      </c>
    </row>
    <row r="9" spans="1:8" x14ac:dyDescent="0.25">
      <c r="A9" t="s">
        <v>334</v>
      </c>
      <c r="B9" t="s">
        <v>335</v>
      </c>
      <c r="C9" t="s">
        <v>336</v>
      </c>
      <c r="D9" t="s">
        <v>337</v>
      </c>
      <c r="E9" s="1">
        <v>40870</v>
      </c>
      <c r="F9" s="2">
        <v>12000000</v>
      </c>
      <c r="G9" s="1">
        <v>40870</v>
      </c>
      <c r="H9" s="1">
        <v>40861</v>
      </c>
    </row>
    <row r="10" spans="1:8" x14ac:dyDescent="0.25">
      <c r="A10" t="s">
        <v>334</v>
      </c>
      <c r="B10" t="s">
        <v>335</v>
      </c>
      <c r="C10" t="s">
        <v>336</v>
      </c>
      <c r="D10" t="s">
        <v>337</v>
      </c>
      <c r="E10" s="1">
        <v>41100</v>
      </c>
      <c r="F10" s="2">
        <v>12000000</v>
      </c>
      <c r="G10" s="1">
        <v>41100</v>
      </c>
      <c r="H10" s="1">
        <v>40861</v>
      </c>
    </row>
    <row r="11" spans="1:8" x14ac:dyDescent="0.25">
      <c r="A11" t="s">
        <v>334</v>
      </c>
      <c r="B11" t="s">
        <v>335</v>
      </c>
      <c r="C11" t="s">
        <v>336</v>
      </c>
      <c r="D11" t="s">
        <v>337</v>
      </c>
      <c r="E11" s="1">
        <v>42586</v>
      </c>
      <c r="F11" s="2">
        <v>4500000</v>
      </c>
      <c r="G11" s="1">
        <v>42586</v>
      </c>
      <c r="H11" s="1">
        <v>42571</v>
      </c>
    </row>
    <row r="12" spans="1:8" x14ac:dyDescent="0.25">
      <c r="A12" t="s">
        <v>334</v>
      </c>
      <c r="B12" t="s">
        <v>335</v>
      </c>
      <c r="C12" t="s">
        <v>336</v>
      </c>
      <c r="D12" t="s">
        <v>337</v>
      </c>
      <c r="E12" s="1">
        <v>42888</v>
      </c>
      <c r="F12" s="2">
        <v>4500000</v>
      </c>
      <c r="G12" s="1">
        <v>42888</v>
      </c>
      <c r="H12" s="1">
        <v>42571</v>
      </c>
    </row>
    <row r="13" spans="1:8" x14ac:dyDescent="0.25">
      <c r="A13" t="s">
        <v>334</v>
      </c>
      <c r="B13" t="s">
        <v>335</v>
      </c>
      <c r="C13" t="s">
        <v>336</v>
      </c>
      <c r="D13" t="s">
        <v>337</v>
      </c>
      <c r="E13" s="1">
        <v>43087</v>
      </c>
      <c r="F13" s="2">
        <v>4500000</v>
      </c>
      <c r="G13" s="1">
        <v>43087</v>
      </c>
      <c r="H13" s="1">
        <v>42571</v>
      </c>
    </row>
    <row r="14" spans="1:8" x14ac:dyDescent="0.25">
      <c r="A14" t="s">
        <v>334</v>
      </c>
      <c r="B14" t="s">
        <v>335</v>
      </c>
      <c r="C14" t="s">
        <v>336</v>
      </c>
      <c r="D14" t="s">
        <v>337</v>
      </c>
      <c r="E14" s="1">
        <v>43255</v>
      </c>
      <c r="F14" s="2">
        <v>4500000</v>
      </c>
      <c r="G14" s="1">
        <v>43255</v>
      </c>
      <c r="H14" s="1">
        <v>42571</v>
      </c>
    </row>
    <row r="15" spans="1:8" x14ac:dyDescent="0.25">
      <c r="A15" t="s">
        <v>334</v>
      </c>
      <c r="B15" t="s">
        <v>335</v>
      </c>
      <c r="C15" t="s">
        <v>336</v>
      </c>
      <c r="D15" t="s">
        <v>337</v>
      </c>
      <c r="E15" s="1">
        <v>43452</v>
      </c>
      <c r="F15" s="2">
        <v>4500000</v>
      </c>
      <c r="G15" s="1">
        <v>43452</v>
      </c>
      <c r="H15" s="1">
        <v>42571</v>
      </c>
    </row>
    <row r="16" spans="1:8" x14ac:dyDescent="0.25">
      <c r="A16" t="s">
        <v>334</v>
      </c>
      <c r="B16" t="s">
        <v>335</v>
      </c>
      <c r="C16" t="s">
        <v>336</v>
      </c>
      <c r="D16" t="s">
        <v>337</v>
      </c>
      <c r="E16" s="1">
        <v>43627</v>
      </c>
      <c r="F16" s="2">
        <v>4500000</v>
      </c>
      <c r="G16" s="1">
        <v>43627</v>
      </c>
      <c r="H16" s="1">
        <v>42571</v>
      </c>
    </row>
    <row r="17" spans="1:8" x14ac:dyDescent="0.25">
      <c r="A17" t="s">
        <v>334</v>
      </c>
      <c r="B17" t="s">
        <v>335</v>
      </c>
      <c r="C17" t="s">
        <v>336</v>
      </c>
      <c r="D17" t="s">
        <v>337</v>
      </c>
      <c r="E17" s="1">
        <v>43830</v>
      </c>
      <c r="F17" s="2">
        <v>5380000</v>
      </c>
      <c r="G17" s="1">
        <v>43830</v>
      </c>
      <c r="H17" s="1">
        <v>42571</v>
      </c>
    </row>
    <row r="18" spans="1:8" x14ac:dyDescent="0.25">
      <c r="A18" t="s">
        <v>334</v>
      </c>
      <c r="B18" t="s">
        <v>335</v>
      </c>
      <c r="C18" t="s">
        <v>336</v>
      </c>
      <c r="D18" t="s">
        <v>337</v>
      </c>
      <c r="E18" s="1">
        <v>44175</v>
      </c>
      <c r="F18" s="2">
        <v>80950000</v>
      </c>
      <c r="G18" s="1">
        <v>44175</v>
      </c>
      <c r="H18" s="1">
        <v>44141</v>
      </c>
    </row>
    <row r="19" spans="1:8" x14ac:dyDescent="0.25">
      <c r="A19" t="s">
        <v>334</v>
      </c>
      <c r="B19" t="s">
        <v>335</v>
      </c>
      <c r="C19" t="s">
        <v>336</v>
      </c>
      <c r="D19" t="s">
        <v>337</v>
      </c>
      <c r="E19" s="1">
        <v>44356</v>
      </c>
      <c r="F19" s="2">
        <v>103616000</v>
      </c>
      <c r="G19" s="1">
        <v>44356</v>
      </c>
      <c r="H19" s="1">
        <v>44141</v>
      </c>
    </row>
    <row r="20" spans="1:8" x14ac:dyDescent="0.25">
      <c r="A20" t="s">
        <v>334</v>
      </c>
      <c r="B20" t="s">
        <v>78</v>
      </c>
      <c r="C20" t="s">
        <v>338</v>
      </c>
      <c r="D20" t="s">
        <v>337</v>
      </c>
      <c r="E20" s="1">
        <v>38546</v>
      </c>
      <c r="F20" s="2">
        <v>67280000</v>
      </c>
      <c r="G20" s="1">
        <v>38546</v>
      </c>
      <c r="H20" s="1">
        <v>37792</v>
      </c>
    </row>
    <row r="21" spans="1:8" x14ac:dyDescent="0.25">
      <c r="A21" t="s">
        <v>334</v>
      </c>
      <c r="B21" t="s">
        <v>78</v>
      </c>
      <c r="C21" t="s">
        <v>338</v>
      </c>
      <c r="D21" t="s">
        <v>337</v>
      </c>
      <c r="E21" s="1">
        <v>38769</v>
      </c>
      <c r="F21" s="2">
        <v>67280000</v>
      </c>
      <c r="G21" s="1">
        <v>38769</v>
      </c>
      <c r="H21" s="1">
        <v>37792</v>
      </c>
    </row>
    <row r="22" spans="1:8" x14ac:dyDescent="0.25">
      <c r="A22" t="s">
        <v>334</v>
      </c>
      <c r="B22" t="s">
        <v>78</v>
      </c>
      <c r="C22" t="s">
        <v>338</v>
      </c>
      <c r="D22" t="s">
        <v>337</v>
      </c>
      <c r="E22" s="1">
        <v>39034</v>
      </c>
      <c r="F22" s="2">
        <v>33670000</v>
      </c>
      <c r="G22" s="1">
        <v>39034</v>
      </c>
      <c r="H22" s="1">
        <v>37792</v>
      </c>
    </row>
    <row r="23" spans="1:8" x14ac:dyDescent="0.25">
      <c r="A23" t="s">
        <v>334</v>
      </c>
      <c r="B23" t="s">
        <v>78</v>
      </c>
      <c r="C23" t="s">
        <v>338</v>
      </c>
      <c r="D23" t="s">
        <v>337</v>
      </c>
      <c r="E23" s="1">
        <v>41024</v>
      </c>
      <c r="F23" s="2">
        <v>91423000</v>
      </c>
      <c r="G23" s="1">
        <v>41024</v>
      </c>
      <c r="H23" s="1">
        <v>41010</v>
      </c>
    </row>
    <row r="24" spans="1:8" x14ac:dyDescent="0.25">
      <c r="A24" t="s">
        <v>334</v>
      </c>
      <c r="B24" t="s">
        <v>78</v>
      </c>
      <c r="C24" t="s">
        <v>338</v>
      </c>
      <c r="D24" t="s">
        <v>337</v>
      </c>
      <c r="E24" s="1">
        <v>41339</v>
      </c>
      <c r="F24" s="2">
        <v>91423000</v>
      </c>
      <c r="G24" s="1">
        <v>41339</v>
      </c>
      <c r="H24" s="1">
        <v>41010</v>
      </c>
    </row>
    <row r="25" spans="1:8" x14ac:dyDescent="0.25">
      <c r="A25" t="s">
        <v>334</v>
      </c>
      <c r="B25" t="s">
        <v>78</v>
      </c>
      <c r="C25" t="s">
        <v>338</v>
      </c>
      <c r="D25" t="s">
        <v>337</v>
      </c>
      <c r="E25" s="1">
        <v>41431</v>
      </c>
      <c r="F25" s="2">
        <v>91423000</v>
      </c>
      <c r="G25" s="1">
        <v>41431</v>
      </c>
      <c r="H25" s="1">
        <v>41010</v>
      </c>
    </row>
    <row r="26" spans="1:8" x14ac:dyDescent="0.25">
      <c r="A26" t="s">
        <v>334</v>
      </c>
      <c r="B26" t="s">
        <v>78</v>
      </c>
      <c r="C26" t="s">
        <v>338</v>
      </c>
      <c r="D26" t="s">
        <v>337</v>
      </c>
      <c r="E26" s="1">
        <v>41614</v>
      </c>
      <c r="F26" s="2">
        <v>91423000</v>
      </c>
      <c r="G26" s="1">
        <v>41614</v>
      </c>
      <c r="H26" s="1">
        <v>41010</v>
      </c>
    </row>
    <row r="27" spans="1:8" x14ac:dyDescent="0.25">
      <c r="A27" t="s">
        <v>334</v>
      </c>
      <c r="B27" t="s">
        <v>78</v>
      </c>
      <c r="C27" t="s">
        <v>338</v>
      </c>
      <c r="D27" t="s">
        <v>337</v>
      </c>
      <c r="E27" s="1">
        <v>41796</v>
      </c>
      <c r="F27" s="2">
        <v>91423000</v>
      </c>
      <c r="G27" s="1">
        <v>41796</v>
      </c>
      <c r="H27" s="1">
        <v>41010</v>
      </c>
    </row>
    <row r="28" spans="1:8" x14ac:dyDescent="0.25">
      <c r="A28" t="s">
        <v>334</v>
      </c>
      <c r="B28" t="s">
        <v>78</v>
      </c>
      <c r="C28" t="s">
        <v>338</v>
      </c>
      <c r="D28" t="s">
        <v>337</v>
      </c>
      <c r="E28" s="1">
        <v>42306</v>
      </c>
      <c r="F28" s="2">
        <v>182845000</v>
      </c>
      <c r="G28" s="1">
        <v>42306</v>
      </c>
      <c r="H28" s="1">
        <v>41010</v>
      </c>
    </row>
    <row r="29" spans="1:8" x14ac:dyDescent="0.25">
      <c r="A29" t="s">
        <v>339</v>
      </c>
      <c r="B29" t="s">
        <v>78</v>
      </c>
      <c r="C29" t="s">
        <v>338</v>
      </c>
      <c r="D29" t="s">
        <v>340</v>
      </c>
      <c r="E29" s="1">
        <v>44958</v>
      </c>
      <c r="F29" s="2">
        <v>234900000</v>
      </c>
      <c r="G29" s="1">
        <v>44958</v>
      </c>
      <c r="H29" s="1">
        <v>44956</v>
      </c>
    </row>
    <row r="30" spans="1:8" x14ac:dyDescent="0.25">
      <c r="A30" t="s">
        <v>334</v>
      </c>
      <c r="B30" t="s">
        <v>78</v>
      </c>
      <c r="C30" t="s">
        <v>338</v>
      </c>
      <c r="D30" t="s">
        <v>337</v>
      </c>
      <c r="E30" s="1">
        <v>44958</v>
      </c>
      <c r="F30" s="2">
        <v>117450000</v>
      </c>
      <c r="G30" s="1">
        <v>44958</v>
      </c>
      <c r="H30" s="1">
        <v>44956</v>
      </c>
    </row>
    <row r="31" spans="1:8" x14ac:dyDescent="0.25">
      <c r="A31" t="s">
        <v>339</v>
      </c>
      <c r="B31" t="s">
        <v>78</v>
      </c>
      <c r="C31" t="s">
        <v>338</v>
      </c>
      <c r="D31" t="s">
        <v>340</v>
      </c>
      <c r="E31" s="1">
        <v>45274</v>
      </c>
      <c r="F31" s="2">
        <v>234900000</v>
      </c>
      <c r="G31" s="1">
        <v>45274</v>
      </c>
      <c r="H31" s="1">
        <v>44956</v>
      </c>
    </row>
    <row r="32" spans="1:8" x14ac:dyDescent="0.25">
      <c r="A32" t="s">
        <v>334</v>
      </c>
      <c r="B32" t="s">
        <v>78</v>
      </c>
      <c r="C32" t="s">
        <v>338</v>
      </c>
      <c r="D32" t="s">
        <v>337</v>
      </c>
      <c r="E32" s="1">
        <v>45274</v>
      </c>
      <c r="F32" s="2">
        <v>117450000</v>
      </c>
      <c r="G32" s="1">
        <v>45274</v>
      </c>
      <c r="H32" s="1">
        <v>44956</v>
      </c>
    </row>
    <row r="33" spans="1:8" x14ac:dyDescent="0.25">
      <c r="A33" t="s">
        <v>334</v>
      </c>
      <c r="B33" t="s">
        <v>78</v>
      </c>
      <c r="C33" t="s">
        <v>338</v>
      </c>
      <c r="D33" t="s">
        <v>337</v>
      </c>
      <c r="E33" s="1">
        <v>45469</v>
      </c>
      <c r="F33" s="2">
        <v>234900000</v>
      </c>
      <c r="G33" s="1">
        <v>45469</v>
      </c>
      <c r="H33" s="1">
        <v>44956</v>
      </c>
    </row>
    <row r="34" spans="1:8" x14ac:dyDescent="0.25">
      <c r="A34" t="s">
        <v>339</v>
      </c>
      <c r="B34" t="s">
        <v>78</v>
      </c>
      <c r="C34" t="s">
        <v>338</v>
      </c>
      <c r="D34" t="s">
        <v>340</v>
      </c>
      <c r="E34" s="1">
        <v>45469</v>
      </c>
      <c r="F34" s="2">
        <v>469800000</v>
      </c>
      <c r="G34" s="1">
        <v>45469</v>
      </c>
      <c r="H34" s="1">
        <v>44956</v>
      </c>
    </row>
    <row r="35" spans="1:8" x14ac:dyDescent="0.25">
      <c r="A35" t="s">
        <v>334</v>
      </c>
      <c r="B35" t="s">
        <v>88</v>
      </c>
      <c r="C35" t="s">
        <v>341</v>
      </c>
      <c r="D35" t="s">
        <v>337</v>
      </c>
      <c r="E35" s="1">
        <v>38576</v>
      </c>
      <c r="F35" s="2">
        <v>880000</v>
      </c>
      <c r="G35" s="1">
        <v>38576</v>
      </c>
      <c r="H35" s="1">
        <v>38569</v>
      </c>
    </row>
    <row r="36" spans="1:8" x14ac:dyDescent="0.25">
      <c r="A36" t="s">
        <v>334</v>
      </c>
      <c r="B36" t="s">
        <v>88</v>
      </c>
      <c r="C36" t="s">
        <v>341</v>
      </c>
      <c r="D36" t="s">
        <v>337</v>
      </c>
      <c r="E36" s="1">
        <v>39063</v>
      </c>
      <c r="F36" s="2">
        <v>880000</v>
      </c>
      <c r="G36" s="1">
        <v>39063</v>
      </c>
      <c r="H36" s="1">
        <v>38569</v>
      </c>
    </row>
    <row r="37" spans="1:8" x14ac:dyDescent="0.25">
      <c r="A37" t="s">
        <v>334</v>
      </c>
      <c r="B37" t="s">
        <v>88</v>
      </c>
      <c r="C37" t="s">
        <v>341</v>
      </c>
      <c r="D37" t="s">
        <v>337</v>
      </c>
      <c r="E37" s="1">
        <v>39262</v>
      </c>
      <c r="F37" s="2">
        <v>880000</v>
      </c>
      <c r="G37" s="1">
        <v>39262</v>
      </c>
      <c r="H37" s="1">
        <v>38569</v>
      </c>
    </row>
    <row r="38" spans="1:8" x14ac:dyDescent="0.25">
      <c r="A38" t="s">
        <v>334</v>
      </c>
      <c r="B38" t="s">
        <v>88</v>
      </c>
      <c r="C38" t="s">
        <v>341</v>
      </c>
      <c r="D38" t="s">
        <v>337</v>
      </c>
      <c r="E38" s="1">
        <v>39469</v>
      </c>
      <c r="F38" s="2">
        <v>880000</v>
      </c>
      <c r="G38" s="1">
        <v>39469</v>
      </c>
      <c r="H38" s="1">
        <v>38569</v>
      </c>
    </row>
    <row r="39" spans="1:8" x14ac:dyDescent="0.25">
      <c r="A39" t="s">
        <v>334</v>
      </c>
      <c r="B39" t="s">
        <v>88</v>
      </c>
      <c r="C39" t="s">
        <v>341</v>
      </c>
      <c r="D39" t="s">
        <v>337</v>
      </c>
      <c r="E39" s="1">
        <v>39632</v>
      </c>
      <c r="F39" s="2">
        <v>10170000</v>
      </c>
      <c r="G39" s="1">
        <v>39632</v>
      </c>
      <c r="H39" s="1">
        <v>38569</v>
      </c>
    </row>
    <row r="40" spans="1:8" x14ac:dyDescent="0.25">
      <c r="A40" t="s">
        <v>334</v>
      </c>
      <c r="B40" t="s">
        <v>88</v>
      </c>
      <c r="C40" t="s">
        <v>341</v>
      </c>
      <c r="D40" t="s">
        <v>337</v>
      </c>
      <c r="E40" s="1">
        <v>39804</v>
      </c>
      <c r="F40" s="2">
        <v>880000</v>
      </c>
      <c r="G40" s="1">
        <v>39804</v>
      </c>
      <c r="H40" s="1">
        <v>38569</v>
      </c>
    </row>
    <row r="41" spans="1:8" x14ac:dyDescent="0.25">
      <c r="A41" t="s">
        <v>334</v>
      </c>
      <c r="B41" t="s">
        <v>88</v>
      </c>
      <c r="C41" t="s">
        <v>341</v>
      </c>
      <c r="D41" t="s">
        <v>337</v>
      </c>
      <c r="E41" s="1">
        <v>39994</v>
      </c>
      <c r="F41" s="2">
        <v>10200000</v>
      </c>
      <c r="G41" s="1">
        <v>39994</v>
      </c>
      <c r="H41" s="1">
        <v>38569</v>
      </c>
    </row>
    <row r="42" spans="1:8" x14ac:dyDescent="0.25">
      <c r="A42" t="s">
        <v>334</v>
      </c>
      <c r="B42" t="s">
        <v>88</v>
      </c>
      <c r="C42" t="s">
        <v>341</v>
      </c>
      <c r="D42" t="s">
        <v>337</v>
      </c>
      <c r="E42" s="1">
        <v>40357</v>
      </c>
      <c r="F42" s="2">
        <v>10620000</v>
      </c>
      <c r="G42" s="1">
        <v>40357</v>
      </c>
      <c r="H42" s="1">
        <v>40343</v>
      </c>
    </row>
    <row r="43" spans="1:8" x14ac:dyDescent="0.25">
      <c r="A43" t="s">
        <v>334</v>
      </c>
      <c r="B43" t="s">
        <v>88</v>
      </c>
      <c r="C43" t="s">
        <v>341</v>
      </c>
      <c r="D43" t="s">
        <v>337</v>
      </c>
      <c r="E43" s="1">
        <v>40605</v>
      </c>
      <c r="F43" s="2">
        <v>10610000</v>
      </c>
      <c r="G43" s="1">
        <v>40605</v>
      </c>
      <c r="H43" s="1">
        <v>40343</v>
      </c>
    </row>
    <row r="44" spans="1:8" x14ac:dyDescent="0.25">
      <c r="A44" t="s">
        <v>334</v>
      </c>
      <c r="B44" t="s">
        <v>88</v>
      </c>
      <c r="C44" t="s">
        <v>341</v>
      </c>
      <c r="D44" t="s">
        <v>337</v>
      </c>
      <c r="E44" s="1">
        <v>40801</v>
      </c>
      <c r="F44" s="2">
        <v>10610000</v>
      </c>
      <c r="G44" s="1">
        <v>40801</v>
      </c>
      <c r="H44" s="1">
        <v>40343</v>
      </c>
    </row>
    <row r="45" spans="1:8" x14ac:dyDescent="0.25">
      <c r="A45" t="s">
        <v>334</v>
      </c>
      <c r="B45" t="s">
        <v>88</v>
      </c>
      <c r="C45" t="s">
        <v>341</v>
      </c>
      <c r="D45" t="s">
        <v>337</v>
      </c>
      <c r="E45" s="1">
        <v>40996</v>
      </c>
      <c r="F45" s="2">
        <v>10610000</v>
      </c>
      <c r="G45" s="1">
        <v>40996</v>
      </c>
      <c r="H45" s="1">
        <v>40343</v>
      </c>
    </row>
    <row r="46" spans="1:8" x14ac:dyDescent="0.25">
      <c r="A46" t="s">
        <v>334</v>
      </c>
      <c r="B46" t="s">
        <v>88</v>
      </c>
      <c r="C46" t="s">
        <v>341</v>
      </c>
      <c r="D46" t="s">
        <v>337</v>
      </c>
      <c r="E46" s="1">
        <v>41232</v>
      </c>
      <c r="F46" s="2">
        <v>10610000</v>
      </c>
      <c r="G46" s="1">
        <v>41232</v>
      </c>
      <c r="H46" s="1">
        <v>40343</v>
      </c>
    </row>
    <row r="47" spans="1:8" x14ac:dyDescent="0.25">
      <c r="A47" t="s">
        <v>334</v>
      </c>
      <c r="B47" t="s">
        <v>88</v>
      </c>
      <c r="C47" t="s">
        <v>341</v>
      </c>
      <c r="D47" t="s">
        <v>337</v>
      </c>
      <c r="E47" s="1">
        <v>41523</v>
      </c>
      <c r="F47" s="2">
        <v>10610000</v>
      </c>
      <c r="G47" s="1">
        <v>41523</v>
      </c>
      <c r="H47" s="1">
        <v>40343</v>
      </c>
    </row>
    <row r="48" spans="1:8" x14ac:dyDescent="0.25">
      <c r="A48" t="s">
        <v>334</v>
      </c>
      <c r="B48" t="s">
        <v>88</v>
      </c>
      <c r="C48" t="s">
        <v>341</v>
      </c>
      <c r="D48" t="s">
        <v>337</v>
      </c>
      <c r="E48" s="1">
        <v>41793</v>
      </c>
      <c r="F48" s="2">
        <v>10610000</v>
      </c>
      <c r="G48" s="1">
        <v>41793</v>
      </c>
      <c r="H48" s="1">
        <v>40343</v>
      </c>
    </row>
    <row r="49" spans="1:8" x14ac:dyDescent="0.25">
      <c r="A49" t="s">
        <v>334</v>
      </c>
      <c r="B49" t="s">
        <v>88</v>
      </c>
      <c r="C49" t="s">
        <v>341</v>
      </c>
      <c r="D49" t="s">
        <v>337</v>
      </c>
      <c r="E49" s="1">
        <v>42843</v>
      </c>
      <c r="F49" s="2">
        <v>15917000</v>
      </c>
      <c r="G49" s="1">
        <v>42843</v>
      </c>
      <c r="H49" s="1">
        <v>42832</v>
      </c>
    </row>
    <row r="50" spans="1:8" x14ac:dyDescent="0.25">
      <c r="A50" t="s">
        <v>334</v>
      </c>
      <c r="B50" t="s">
        <v>88</v>
      </c>
      <c r="C50" t="s">
        <v>341</v>
      </c>
      <c r="D50" t="s">
        <v>337</v>
      </c>
      <c r="E50" s="1">
        <v>43080</v>
      </c>
      <c r="F50" s="2">
        <v>15917000</v>
      </c>
      <c r="G50" s="1">
        <v>43080</v>
      </c>
      <c r="H50" s="1">
        <v>42832</v>
      </c>
    </row>
    <row r="51" spans="1:8" x14ac:dyDescent="0.25">
      <c r="A51" t="s">
        <v>334</v>
      </c>
      <c r="B51" t="s">
        <v>88</v>
      </c>
      <c r="C51" t="s">
        <v>341</v>
      </c>
      <c r="D51" t="s">
        <v>337</v>
      </c>
      <c r="E51" s="1">
        <v>43290</v>
      </c>
      <c r="F51" s="2">
        <v>15917000</v>
      </c>
      <c r="G51" s="1">
        <v>43290</v>
      </c>
      <c r="H51" s="1">
        <v>42832</v>
      </c>
    </row>
    <row r="52" spans="1:8" x14ac:dyDescent="0.25">
      <c r="A52" t="s">
        <v>334</v>
      </c>
      <c r="B52" t="s">
        <v>88</v>
      </c>
      <c r="C52" t="s">
        <v>341</v>
      </c>
      <c r="D52" t="s">
        <v>337</v>
      </c>
      <c r="E52" s="1">
        <v>43448</v>
      </c>
      <c r="F52" s="2">
        <v>15917000</v>
      </c>
      <c r="G52" s="1">
        <v>43448</v>
      </c>
      <c r="H52" s="1">
        <v>42832</v>
      </c>
    </row>
    <row r="53" spans="1:8" x14ac:dyDescent="0.25">
      <c r="A53" t="s">
        <v>334</v>
      </c>
      <c r="B53" t="s">
        <v>88</v>
      </c>
      <c r="C53" t="s">
        <v>341</v>
      </c>
      <c r="D53" t="s">
        <v>337</v>
      </c>
      <c r="E53" s="1">
        <v>43647</v>
      </c>
      <c r="F53" s="2">
        <v>15917000</v>
      </c>
      <c r="G53" s="1">
        <v>43647</v>
      </c>
      <c r="H53" s="1">
        <v>42832</v>
      </c>
    </row>
    <row r="54" spans="1:8" x14ac:dyDescent="0.25">
      <c r="A54" t="s">
        <v>334</v>
      </c>
      <c r="B54" t="s">
        <v>88</v>
      </c>
      <c r="C54" t="s">
        <v>341</v>
      </c>
      <c r="D54" t="s">
        <v>337</v>
      </c>
      <c r="E54" s="1">
        <v>43822</v>
      </c>
      <c r="F54" s="2">
        <v>15917000</v>
      </c>
      <c r="G54" s="1">
        <v>43822</v>
      </c>
      <c r="H54" s="1">
        <v>42832</v>
      </c>
    </row>
    <row r="55" spans="1:8" x14ac:dyDescent="0.25">
      <c r="A55" t="s">
        <v>334</v>
      </c>
      <c r="B55" t="s">
        <v>88</v>
      </c>
      <c r="C55" t="s">
        <v>341</v>
      </c>
      <c r="D55" t="s">
        <v>337</v>
      </c>
      <c r="E55" s="1">
        <v>43970</v>
      </c>
      <c r="F55" s="2">
        <v>91931000</v>
      </c>
      <c r="G55" s="1">
        <v>43970</v>
      </c>
      <c r="H55" s="1">
        <v>42832</v>
      </c>
    </row>
    <row r="56" spans="1:8" x14ac:dyDescent="0.25">
      <c r="A56" t="s">
        <v>339</v>
      </c>
      <c r="B56" t="s">
        <v>88</v>
      </c>
      <c r="C56" t="s">
        <v>341</v>
      </c>
      <c r="D56" t="s">
        <v>340</v>
      </c>
      <c r="E56" s="1">
        <v>44754</v>
      </c>
      <c r="F56" s="2">
        <v>72200000</v>
      </c>
      <c r="G56" s="1">
        <v>44754</v>
      </c>
      <c r="H56" s="1">
        <v>44750</v>
      </c>
    </row>
    <row r="57" spans="1:8" x14ac:dyDescent="0.25">
      <c r="A57" t="s">
        <v>334</v>
      </c>
      <c r="B57" t="s">
        <v>88</v>
      </c>
      <c r="C57" t="s">
        <v>341</v>
      </c>
      <c r="D57" t="s">
        <v>337</v>
      </c>
      <c r="E57" s="1">
        <v>44754</v>
      </c>
      <c r="F57" s="2">
        <v>36100000</v>
      </c>
      <c r="G57" s="1">
        <v>44754</v>
      </c>
      <c r="H57" s="1">
        <v>44750</v>
      </c>
    </row>
    <row r="58" spans="1:8" x14ac:dyDescent="0.25">
      <c r="A58" t="s">
        <v>334</v>
      </c>
      <c r="B58" t="s">
        <v>88</v>
      </c>
      <c r="C58" t="s">
        <v>341</v>
      </c>
      <c r="D58" t="s">
        <v>337</v>
      </c>
      <c r="E58" s="1">
        <v>44911</v>
      </c>
      <c r="F58" s="2">
        <v>36100000</v>
      </c>
      <c r="G58" s="1">
        <v>44911</v>
      </c>
      <c r="H58" s="1">
        <v>44750</v>
      </c>
    </row>
    <row r="59" spans="1:8" x14ac:dyDescent="0.25">
      <c r="A59" t="s">
        <v>339</v>
      </c>
      <c r="B59" t="s">
        <v>88</v>
      </c>
      <c r="C59" t="s">
        <v>341</v>
      </c>
      <c r="D59" t="s">
        <v>340</v>
      </c>
      <c r="E59" s="1">
        <v>44911</v>
      </c>
      <c r="F59" s="2">
        <v>72200000</v>
      </c>
      <c r="G59" s="1">
        <v>44911</v>
      </c>
      <c r="H59" s="1">
        <v>44750</v>
      </c>
    </row>
    <row r="60" spans="1:8" x14ac:dyDescent="0.25">
      <c r="A60" t="s">
        <v>339</v>
      </c>
      <c r="B60" t="s">
        <v>88</v>
      </c>
      <c r="C60" t="s">
        <v>341</v>
      </c>
      <c r="D60" t="s">
        <v>340</v>
      </c>
      <c r="E60" s="1">
        <v>45065</v>
      </c>
      <c r="F60" s="2">
        <v>33880000</v>
      </c>
      <c r="G60" s="1">
        <v>45065</v>
      </c>
      <c r="H60" s="1">
        <v>44750</v>
      </c>
    </row>
    <row r="61" spans="1:8" x14ac:dyDescent="0.25">
      <c r="A61" t="s">
        <v>334</v>
      </c>
      <c r="B61" t="s">
        <v>88</v>
      </c>
      <c r="C61" t="s">
        <v>341</v>
      </c>
      <c r="D61" t="s">
        <v>337</v>
      </c>
      <c r="E61" s="1">
        <v>45065</v>
      </c>
      <c r="F61" s="2">
        <v>16940000</v>
      </c>
      <c r="G61" s="1">
        <v>45065</v>
      </c>
      <c r="H61" s="1">
        <v>44750</v>
      </c>
    </row>
    <row r="62" spans="1:8" x14ac:dyDescent="0.25">
      <c r="A62" t="s">
        <v>339</v>
      </c>
      <c r="B62" t="s">
        <v>88</v>
      </c>
      <c r="C62" t="s">
        <v>341</v>
      </c>
      <c r="D62" t="s">
        <v>340</v>
      </c>
      <c r="E62" s="1">
        <v>45278</v>
      </c>
      <c r="F62" s="2">
        <v>67720000</v>
      </c>
      <c r="G62" s="1">
        <v>45278</v>
      </c>
      <c r="H62" s="1">
        <v>44750</v>
      </c>
    </row>
    <row r="63" spans="1:8" x14ac:dyDescent="0.25">
      <c r="A63" t="s">
        <v>334</v>
      </c>
      <c r="B63" t="s">
        <v>88</v>
      </c>
      <c r="C63" t="s">
        <v>341</v>
      </c>
      <c r="D63" t="s">
        <v>337</v>
      </c>
      <c r="E63" s="1">
        <v>45278</v>
      </c>
      <c r="F63" s="2">
        <v>33860000</v>
      </c>
      <c r="G63" s="1">
        <v>45278</v>
      </c>
      <c r="H63" s="1">
        <v>44750</v>
      </c>
    </row>
    <row r="64" spans="1:8" x14ac:dyDescent="0.25">
      <c r="A64" t="s">
        <v>334</v>
      </c>
      <c r="B64" t="s">
        <v>88</v>
      </c>
      <c r="C64" t="s">
        <v>341</v>
      </c>
      <c r="D64" t="s">
        <v>337</v>
      </c>
      <c r="E64" s="1">
        <v>45474</v>
      </c>
      <c r="F64" s="2">
        <v>10400000</v>
      </c>
      <c r="G64" s="1">
        <v>45474</v>
      </c>
      <c r="H64" s="1">
        <v>44750</v>
      </c>
    </row>
    <row r="65" spans="1:8" x14ac:dyDescent="0.25">
      <c r="A65" t="s">
        <v>339</v>
      </c>
      <c r="B65" t="s">
        <v>88</v>
      </c>
      <c r="C65" t="s">
        <v>341</v>
      </c>
      <c r="D65" t="s">
        <v>340</v>
      </c>
      <c r="E65" s="1">
        <v>45474</v>
      </c>
      <c r="F65" s="2">
        <v>20800000</v>
      </c>
      <c r="G65" s="1">
        <v>45474</v>
      </c>
      <c r="H65" s="1">
        <v>44750</v>
      </c>
    </row>
    <row r="66" spans="1:8" x14ac:dyDescent="0.25">
      <c r="A66" t="s">
        <v>339</v>
      </c>
      <c r="B66" t="s">
        <v>88</v>
      </c>
      <c r="C66" t="s">
        <v>341</v>
      </c>
      <c r="D66" t="s">
        <v>340</v>
      </c>
      <c r="E66" s="1">
        <v>45645</v>
      </c>
      <c r="F66" s="2">
        <v>20800000</v>
      </c>
      <c r="G66" s="1">
        <v>45645</v>
      </c>
      <c r="H66" s="1">
        <v>44750</v>
      </c>
    </row>
    <row r="67" spans="1:8" x14ac:dyDescent="0.25">
      <c r="A67" t="s">
        <v>334</v>
      </c>
      <c r="B67" t="s">
        <v>88</v>
      </c>
      <c r="C67" t="s">
        <v>341</v>
      </c>
      <c r="D67" t="s">
        <v>337</v>
      </c>
      <c r="E67" s="1">
        <v>45645</v>
      </c>
      <c r="F67" s="2">
        <v>10400000</v>
      </c>
      <c r="G67" s="1">
        <v>45645</v>
      </c>
      <c r="H67" s="1">
        <v>44750</v>
      </c>
    </row>
    <row r="68" spans="1:8" x14ac:dyDescent="0.25">
      <c r="A68" t="s">
        <v>334</v>
      </c>
      <c r="B68" t="s">
        <v>101</v>
      </c>
      <c r="C68" t="s">
        <v>342</v>
      </c>
      <c r="D68" t="s">
        <v>337</v>
      </c>
      <c r="E68" s="1">
        <v>38399</v>
      </c>
      <c r="F68" s="2">
        <v>6880000</v>
      </c>
      <c r="G68" s="1">
        <v>38399</v>
      </c>
      <c r="H68" s="1">
        <v>37783</v>
      </c>
    </row>
    <row r="69" spans="1:8" x14ac:dyDescent="0.25">
      <c r="A69" t="s">
        <v>334</v>
      </c>
      <c r="B69" t="s">
        <v>101</v>
      </c>
      <c r="C69" t="s">
        <v>342</v>
      </c>
      <c r="D69" t="s">
        <v>337</v>
      </c>
      <c r="E69" s="1">
        <v>38621</v>
      </c>
      <c r="F69" s="2">
        <v>3440000</v>
      </c>
      <c r="G69" s="1">
        <v>38621</v>
      </c>
      <c r="H69" s="1">
        <v>37783</v>
      </c>
    </row>
    <row r="70" spans="1:8" x14ac:dyDescent="0.25">
      <c r="A70" t="s">
        <v>334</v>
      </c>
      <c r="B70" t="s">
        <v>101</v>
      </c>
      <c r="C70" t="s">
        <v>342</v>
      </c>
      <c r="D70" t="s">
        <v>337</v>
      </c>
      <c r="E70" s="1">
        <v>38798</v>
      </c>
      <c r="F70" s="2">
        <v>3440000</v>
      </c>
      <c r="G70" s="1">
        <v>38798</v>
      </c>
      <c r="H70" s="1">
        <v>37783</v>
      </c>
    </row>
    <row r="71" spans="1:8" x14ac:dyDescent="0.25">
      <c r="A71" t="s">
        <v>334</v>
      </c>
      <c r="B71" t="s">
        <v>101</v>
      </c>
      <c r="C71" t="s">
        <v>342</v>
      </c>
      <c r="D71" t="s">
        <v>337</v>
      </c>
      <c r="E71" s="1">
        <v>38985</v>
      </c>
      <c r="F71" s="2">
        <v>9460000</v>
      </c>
      <c r="G71" s="1">
        <v>38985</v>
      </c>
      <c r="H71" s="1">
        <v>37783</v>
      </c>
    </row>
    <row r="72" spans="1:8" x14ac:dyDescent="0.25">
      <c r="A72" t="s">
        <v>334</v>
      </c>
      <c r="B72" t="s">
        <v>101</v>
      </c>
      <c r="C72" t="s">
        <v>342</v>
      </c>
      <c r="D72" t="s">
        <v>337</v>
      </c>
      <c r="E72" s="1">
        <v>39199</v>
      </c>
      <c r="F72" s="2">
        <v>500000</v>
      </c>
      <c r="G72" s="1">
        <v>39199</v>
      </c>
      <c r="H72" s="1">
        <v>39195</v>
      </c>
    </row>
    <row r="73" spans="1:8" x14ac:dyDescent="0.25">
      <c r="A73" t="s">
        <v>334</v>
      </c>
      <c r="B73" t="s">
        <v>101</v>
      </c>
      <c r="C73" t="s">
        <v>342</v>
      </c>
      <c r="D73" t="s">
        <v>337</v>
      </c>
      <c r="E73" s="1">
        <v>39469</v>
      </c>
      <c r="F73" s="2">
        <v>3510000</v>
      </c>
      <c r="G73" s="1">
        <v>39469</v>
      </c>
      <c r="H73" s="1">
        <v>39195</v>
      </c>
    </row>
    <row r="74" spans="1:8" x14ac:dyDescent="0.25">
      <c r="A74" t="s">
        <v>334</v>
      </c>
      <c r="B74" t="s">
        <v>101</v>
      </c>
      <c r="C74" t="s">
        <v>342</v>
      </c>
      <c r="D74" t="s">
        <v>337</v>
      </c>
      <c r="E74" s="1">
        <v>39638</v>
      </c>
      <c r="F74" s="2">
        <v>4014000</v>
      </c>
      <c r="G74" s="1">
        <v>39638</v>
      </c>
      <c r="H74" s="1">
        <v>39195</v>
      </c>
    </row>
    <row r="75" spans="1:8" x14ac:dyDescent="0.25">
      <c r="A75" t="s">
        <v>334</v>
      </c>
      <c r="B75" t="s">
        <v>101</v>
      </c>
      <c r="C75" t="s">
        <v>342</v>
      </c>
      <c r="D75" t="s">
        <v>337</v>
      </c>
      <c r="E75" s="1">
        <v>39804</v>
      </c>
      <c r="F75" s="2">
        <v>4014000</v>
      </c>
      <c r="G75" s="1">
        <v>39804</v>
      </c>
      <c r="H75" s="1">
        <v>39195</v>
      </c>
    </row>
    <row r="76" spans="1:8" x14ac:dyDescent="0.25">
      <c r="A76" t="s">
        <v>334</v>
      </c>
      <c r="B76" t="s">
        <v>101</v>
      </c>
      <c r="C76" t="s">
        <v>342</v>
      </c>
      <c r="D76" t="s">
        <v>337</v>
      </c>
      <c r="E76" s="1">
        <v>39994</v>
      </c>
      <c r="F76" s="2">
        <v>1004000</v>
      </c>
      <c r="G76" s="1">
        <v>39994</v>
      </c>
      <c r="H76" s="1">
        <v>39195</v>
      </c>
    </row>
    <row r="77" spans="1:8" x14ac:dyDescent="0.25">
      <c r="A77" t="s">
        <v>334</v>
      </c>
      <c r="B77" t="s">
        <v>101</v>
      </c>
      <c r="C77" t="s">
        <v>342</v>
      </c>
      <c r="D77" t="s">
        <v>337</v>
      </c>
      <c r="E77" s="1">
        <v>40177</v>
      </c>
      <c r="F77" s="2">
        <v>34114000</v>
      </c>
      <c r="G77" s="1">
        <v>40177</v>
      </c>
      <c r="H77" s="1">
        <v>39195</v>
      </c>
    </row>
    <row r="78" spans="1:8" x14ac:dyDescent="0.25">
      <c r="A78" t="s">
        <v>334</v>
      </c>
      <c r="B78" t="s">
        <v>101</v>
      </c>
      <c r="C78" t="s">
        <v>342</v>
      </c>
      <c r="D78" t="s">
        <v>337</v>
      </c>
      <c r="E78" s="1">
        <v>40357</v>
      </c>
      <c r="F78" s="2">
        <v>7454000</v>
      </c>
      <c r="G78" s="1">
        <v>40357</v>
      </c>
      <c r="H78" s="1">
        <v>40343</v>
      </c>
    </row>
    <row r="79" spans="1:8" x14ac:dyDescent="0.25">
      <c r="A79" t="s">
        <v>334</v>
      </c>
      <c r="B79" t="s">
        <v>101</v>
      </c>
      <c r="C79" t="s">
        <v>342</v>
      </c>
      <c r="D79" t="s">
        <v>337</v>
      </c>
      <c r="E79" s="1">
        <v>40527</v>
      </c>
      <c r="F79" s="2">
        <v>6450000</v>
      </c>
      <c r="G79" s="1">
        <v>40527</v>
      </c>
      <c r="H79" s="1">
        <v>40343</v>
      </c>
    </row>
    <row r="80" spans="1:8" x14ac:dyDescent="0.25">
      <c r="A80" t="s">
        <v>334</v>
      </c>
      <c r="B80" t="s">
        <v>101</v>
      </c>
      <c r="C80" t="s">
        <v>342</v>
      </c>
      <c r="D80" t="s">
        <v>337</v>
      </c>
      <c r="E80" s="1">
        <v>40750</v>
      </c>
      <c r="F80" s="2">
        <v>6450000</v>
      </c>
      <c r="G80" s="1">
        <v>40750</v>
      </c>
      <c r="H80" s="1">
        <v>40343</v>
      </c>
    </row>
    <row r="81" spans="1:8" x14ac:dyDescent="0.25">
      <c r="A81" t="s">
        <v>334</v>
      </c>
      <c r="B81" t="s">
        <v>101</v>
      </c>
      <c r="C81" t="s">
        <v>342</v>
      </c>
      <c r="D81" t="s">
        <v>337</v>
      </c>
      <c r="E81" s="1">
        <v>40907</v>
      </c>
      <c r="F81" s="2">
        <v>6450000</v>
      </c>
      <c r="G81" s="1">
        <v>40907</v>
      </c>
      <c r="H81" s="1">
        <v>40343</v>
      </c>
    </row>
    <row r="82" spans="1:8" x14ac:dyDescent="0.25">
      <c r="A82" t="s">
        <v>334</v>
      </c>
      <c r="B82" t="s">
        <v>101</v>
      </c>
      <c r="C82" t="s">
        <v>342</v>
      </c>
      <c r="D82" t="s">
        <v>337</v>
      </c>
      <c r="E82" s="1">
        <v>41078</v>
      </c>
      <c r="F82" s="2">
        <v>30530000</v>
      </c>
      <c r="G82" s="1">
        <v>41078</v>
      </c>
      <c r="H82" s="1">
        <v>40343</v>
      </c>
    </row>
    <row r="83" spans="1:8" x14ac:dyDescent="0.25">
      <c r="A83" t="s">
        <v>334</v>
      </c>
      <c r="B83" t="s">
        <v>101</v>
      </c>
      <c r="C83" t="s">
        <v>342</v>
      </c>
      <c r="D83" t="s">
        <v>337</v>
      </c>
      <c r="E83" s="1">
        <v>41263</v>
      </c>
      <c r="F83" s="2">
        <v>18490000</v>
      </c>
      <c r="G83" s="1">
        <v>41263</v>
      </c>
      <c r="H83" s="1">
        <v>40343</v>
      </c>
    </row>
    <row r="84" spans="1:8" x14ac:dyDescent="0.25">
      <c r="A84" t="s">
        <v>334</v>
      </c>
      <c r="B84" t="s">
        <v>101</v>
      </c>
      <c r="C84" t="s">
        <v>342</v>
      </c>
      <c r="D84" t="s">
        <v>337</v>
      </c>
      <c r="E84" s="1">
        <v>41465</v>
      </c>
      <c r="F84" s="2">
        <v>3225000</v>
      </c>
      <c r="G84" s="1">
        <v>41465</v>
      </c>
      <c r="H84" s="1">
        <v>40343</v>
      </c>
    </row>
    <row r="85" spans="1:8" x14ac:dyDescent="0.25">
      <c r="A85" t="s">
        <v>334</v>
      </c>
      <c r="B85" t="s">
        <v>101</v>
      </c>
      <c r="C85" t="s">
        <v>342</v>
      </c>
      <c r="D85" t="s">
        <v>337</v>
      </c>
      <c r="E85" s="1">
        <v>41631</v>
      </c>
      <c r="F85" s="2">
        <v>3225000</v>
      </c>
      <c r="G85" s="1">
        <v>41631</v>
      </c>
      <c r="H85" s="1">
        <v>40343</v>
      </c>
    </row>
    <row r="86" spans="1:8" x14ac:dyDescent="0.25">
      <c r="A86" t="s">
        <v>334</v>
      </c>
      <c r="B86" t="s">
        <v>101</v>
      </c>
      <c r="C86" t="s">
        <v>342</v>
      </c>
      <c r="D86" t="s">
        <v>337</v>
      </c>
      <c r="E86" s="1">
        <v>41647</v>
      </c>
      <c r="F86" s="2">
        <v>2550000</v>
      </c>
      <c r="G86" s="1">
        <v>41647</v>
      </c>
      <c r="H86" s="1">
        <v>41635</v>
      </c>
    </row>
    <row r="87" spans="1:8" x14ac:dyDescent="0.25">
      <c r="A87" t="s">
        <v>334</v>
      </c>
      <c r="B87" t="s">
        <v>101</v>
      </c>
      <c r="C87" t="s">
        <v>342</v>
      </c>
      <c r="D87" t="s">
        <v>337</v>
      </c>
      <c r="E87" s="1">
        <v>41831</v>
      </c>
      <c r="F87" s="2">
        <v>2550000</v>
      </c>
      <c r="G87" s="1">
        <v>41831</v>
      </c>
      <c r="H87" s="1">
        <v>41635</v>
      </c>
    </row>
    <row r="88" spans="1:8" x14ac:dyDescent="0.25">
      <c r="A88" t="s">
        <v>334</v>
      </c>
      <c r="B88" t="s">
        <v>101</v>
      </c>
      <c r="C88" t="s">
        <v>342</v>
      </c>
      <c r="D88" t="s">
        <v>337</v>
      </c>
      <c r="E88" s="1">
        <v>42170</v>
      </c>
      <c r="F88" s="2">
        <v>23030000</v>
      </c>
      <c r="G88" s="1">
        <v>42170</v>
      </c>
      <c r="H88" s="1">
        <v>41635</v>
      </c>
    </row>
    <row r="89" spans="1:8" x14ac:dyDescent="0.25">
      <c r="A89" t="s">
        <v>334</v>
      </c>
      <c r="B89" t="s">
        <v>101</v>
      </c>
      <c r="C89" t="s">
        <v>342</v>
      </c>
      <c r="D89" t="s">
        <v>337</v>
      </c>
      <c r="E89" s="1">
        <v>42541</v>
      </c>
      <c r="F89" s="2">
        <v>18570000</v>
      </c>
      <c r="G89" s="1">
        <v>42541</v>
      </c>
      <c r="H89" s="1">
        <v>41635</v>
      </c>
    </row>
    <row r="90" spans="1:8" x14ac:dyDescent="0.25">
      <c r="A90" t="s">
        <v>334</v>
      </c>
      <c r="B90" t="s">
        <v>101</v>
      </c>
      <c r="C90" t="s">
        <v>342</v>
      </c>
      <c r="D90" t="s">
        <v>337</v>
      </c>
      <c r="E90" s="1">
        <v>42732</v>
      </c>
      <c r="F90" s="2">
        <v>4470000</v>
      </c>
      <c r="G90" s="1">
        <v>42732</v>
      </c>
      <c r="H90" s="1">
        <v>41635</v>
      </c>
    </row>
    <row r="91" spans="1:8" x14ac:dyDescent="0.25">
      <c r="A91" t="s">
        <v>334</v>
      </c>
      <c r="B91" t="s">
        <v>101</v>
      </c>
      <c r="C91" t="s">
        <v>342</v>
      </c>
      <c r="D91" t="s">
        <v>337</v>
      </c>
      <c r="E91" s="1">
        <v>42940</v>
      </c>
      <c r="F91" s="2">
        <v>4470000</v>
      </c>
      <c r="G91" s="1">
        <v>42940</v>
      </c>
      <c r="H91" s="1">
        <v>41635</v>
      </c>
    </row>
    <row r="92" spans="1:8" x14ac:dyDescent="0.25">
      <c r="A92" t="s">
        <v>334</v>
      </c>
      <c r="B92" t="s">
        <v>101</v>
      </c>
      <c r="C92" t="s">
        <v>342</v>
      </c>
      <c r="D92" t="s">
        <v>337</v>
      </c>
      <c r="E92" s="1">
        <v>43181</v>
      </c>
      <c r="F92" s="2">
        <v>18060000</v>
      </c>
      <c r="G92" s="1">
        <v>43181</v>
      </c>
      <c r="H92" s="1">
        <v>43173</v>
      </c>
    </row>
    <row r="93" spans="1:8" x14ac:dyDescent="0.25">
      <c r="A93" t="s">
        <v>334</v>
      </c>
      <c r="B93" t="s">
        <v>101</v>
      </c>
      <c r="C93" t="s">
        <v>342</v>
      </c>
      <c r="D93" t="s">
        <v>337</v>
      </c>
      <c r="E93" s="1">
        <v>43467</v>
      </c>
      <c r="F93" s="2">
        <v>18060000</v>
      </c>
      <c r="G93" s="1">
        <v>43467</v>
      </c>
      <c r="H93" s="1">
        <v>43173</v>
      </c>
    </row>
    <row r="94" spans="1:8" x14ac:dyDescent="0.25">
      <c r="A94" t="s">
        <v>334</v>
      </c>
      <c r="B94" t="s">
        <v>101</v>
      </c>
      <c r="C94" t="s">
        <v>342</v>
      </c>
      <c r="D94" t="s">
        <v>337</v>
      </c>
      <c r="E94" s="1">
        <v>43675</v>
      </c>
      <c r="F94" s="2">
        <v>18060000</v>
      </c>
      <c r="G94" s="1">
        <v>43675</v>
      </c>
      <c r="H94" s="1">
        <v>43173</v>
      </c>
    </row>
    <row r="95" spans="1:8" x14ac:dyDescent="0.25">
      <c r="A95" t="s">
        <v>334</v>
      </c>
      <c r="B95" t="s">
        <v>101</v>
      </c>
      <c r="C95" t="s">
        <v>342</v>
      </c>
      <c r="D95" t="s">
        <v>337</v>
      </c>
      <c r="E95" s="1">
        <v>43830</v>
      </c>
      <c r="F95" s="2">
        <v>18060000</v>
      </c>
      <c r="G95" s="1">
        <v>43830</v>
      </c>
      <c r="H95" s="1">
        <v>43173</v>
      </c>
    </row>
    <row r="96" spans="1:8" x14ac:dyDescent="0.25">
      <c r="A96" t="s">
        <v>334</v>
      </c>
      <c r="B96" t="s">
        <v>101</v>
      </c>
      <c r="C96" t="s">
        <v>342</v>
      </c>
      <c r="D96" t="s">
        <v>337</v>
      </c>
      <c r="E96" s="1">
        <v>44152</v>
      </c>
      <c r="F96" s="2">
        <v>36120000</v>
      </c>
      <c r="G96" s="1">
        <v>44152</v>
      </c>
      <c r="H96" s="1">
        <v>43173</v>
      </c>
    </row>
    <row r="97" spans="1:8" x14ac:dyDescent="0.25">
      <c r="A97" t="s">
        <v>334</v>
      </c>
      <c r="B97" t="s">
        <v>101</v>
      </c>
      <c r="C97" t="s">
        <v>342</v>
      </c>
      <c r="D97" t="s">
        <v>337</v>
      </c>
      <c r="E97" s="1">
        <v>45194</v>
      </c>
      <c r="F97" s="2">
        <v>24080000</v>
      </c>
      <c r="G97" s="1">
        <v>45194</v>
      </c>
      <c r="H97" s="1">
        <v>45190</v>
      </c>
    </row>
    <row r="98" spans="1:8" x14ac:dyDescent="0.25">
      <c r="A98" t="s">
        <v>334</v>
      </c>
      <c r="B98" t="s">
        <v>101</v>
      </c>
      <c r="C98" t="s">
        <v>342</v>
      </c>
      <c r="D98" t="s">
        <v>337</v>
      </c>
      <c r="E98" s="1">
        <v>45461</v>
      </c>
      <c r="F98" s="2">
        <v>24080000</v>
      </c>
      <c r="G98" s="1">
        <v>45461</v>
      </c>
      <c r="H98" s="1">
        <v>45190</v>
      </c>
    </row>
    <row r="99" spans="1:8" x14ac:dyDescent="0.25">
      <c r="A99" t="s">
        <v>334</v>
      </c>
      <c r="B99" t="s">
        <v>101</v>
      </c>
      <c r="C99" t="s">
        <v>342</v>
      </c>
      <c r="D99" t="s">
        <v>337</v>
      </c>
      <c r="E99" s="1">
        <v>45649</v>
      </c>
      <c r="F99" s="2">
        <v>24080000</v>
      </c>
      <c r="G99" s="1">
        <v>45649</v>
      </c>
      <c r="H99" s="1">
        <v>45190</v>
      </c>
    </row>
    <row r="100" spans="1:8" x14ac:dyDescent="0.25">
      <c r="A100" t="s">
        <v>334</v>
      </c>
      <c r="B100" t="s">
        <v>106</v>
      </c>
      <c r="C100" t="s">
        <v>343</v>
      </c>
      <c r="D100" t="s">
        <v>337</v>
      </c>
      <c r="E100" s="1">
        <v>38386</v>
      </c>
      <c r="F100" s="2">
        <v>7150000</v>
      </c>
      <c r="G100" s="1">
        <v>38386</v>
      </c>
      <c r="H100" s="1">
        <v>38009</v>
      </c>
    </row>
    <row r="101" spans="1:8" x14ac:dyDescent="0.25">
      <c r="A101" t="s">
        <v>334</v>
      </c>
      <c r="B101" t="s">
        <v>106</v>
      </c>
      <c r="C101" t="s">
        <v>343</v>
      </c>
      <c r="D101" t="s">
        <v>337</v>
      </c>
      <c r="E101" s="1">
        <v>38576</v>
      </c>
      <c r="F101" s="2">
        <v>7150000</v>
      </c>
      <c r="G101" s="1">
        <v>38576</v>
      </c>
      <c r="H101" s="1">
        <v>38009</v>
      </c>
    </row>
    <row r="102" spans="1:8" x14ac:dyDescent="0.25">
      <c r="A102" t="s">
        <v>334</v>
      </c>
      <c r="B102" t="s">
        <v>106</v>
      </c>
      <c r="C102" t="s">
        <v>343</v>
      </c>
      <c r="D102" t="s">
        <v>337</v>
      </c>
      <c r="E102" s="1">
        <v>38930</v>
      </c>
      <c r="F102" s="2">
        <v>14300000</v>
      </c>
      <c r="G102" s="1">
        <v>38930</v>
      </c>
      <c r="H102" s="1">
        <v>38009</v>
      </c>
    </row>
    <row r="103" spans="1:8" x14ac:dyDescent="0.25">
      <c r="A103" t="s">
        <v>334</v>
      </c>
      <c r="B103" t="s">
        <v>106</v>
      </c>
      <c r="C103" t="s">
        <v>343</v>
      </c>
      <c r="D103" t="s">
        <v>337</v>
      </c>
      <c r="E103" s="1">
        <v>39157</v>
      </c>
      <c r="F103" s="2">
        <v>7150000</v>
      </c>
      <c r="G103" s="1">
        <v>39157</v>
      </c>
      <c r="H103" s="1">
        <v>38009</v>
      </c>
    </row>
    <row r="104" spans="1:8" x14ac:dyDescent="0.25">
      <c r="A104" t="s">
        <v>334</v>
      </c>
      <c r="B104" t="s">
        <v>106</v>
      </c>
      <c r="C104" t="s">
        <v>343</v>
      </c>
      <c r="D104" t="s">
        <v>337</v>
      </c>
      <c r="E104" s="1">
        <v>39469</v>
      </c>
      <c r="F104" s="2">
        <v>7150000</v>
      </c>
      <c r="G104" s="1">
        <v>39469</v>
      </c>
      <c r="H104" s="1">
        <v>38009</v>
      </c>
    </row>
    <row r="105" spans="1:8" x14ac:dyDescent="0.25">
      <c r="A105" t="s">
        <v>334</v>
      </c>
      <c r="B105" t="s">
        <v>106</v>
      </c>
      <c r="C105" t="s">
        <v>343</v>
      </c>
      <c r="D105" t="s">
        <v>337</v>
      </c>
      <c r="E105" s="1">
        <v>39644</v>
      </c>
      <c r="F105" s="2">
        <v>6600000</v>
      </c>
      <c r="G105" s="1">
        <v>39644</v>
      </c>
      <c r="H105" s="1">
        <v>39636</v>
      </c>
    </row>
    <row r="106" spans="1:8" x14ac:dyDescent="0.25">
      <c r="A106" t="s">
        <v>334</v>
      </c>
      <c r="B106" t="s">
        <v>106</v>
      </c>
      <c r="C106" t="s">
        <v>343</v>
      </c>
      <c r="D106" t="s">
        <v>337</v>
      </c>
      <c r="E106" s="1">
        <v>39853</v>
      </c>
      <c r="F106" s="2">
        <v>6600000</v>
      </c>
      <c r="G106" s="1">
        <v>39853</v>
      </c>
      <c r="H106" s="1">
        <v>39636</v>
      </c>
    </row>
    <row r="107" spans="1:8" x14ac:dyDescent="0.25">
      <c r="A107" t="s">
        <v>334</v>
      </c>
      <c r="B107" t="s">
        <v>106</v>
      </c>
      <c r="C107" t="s">
        <v>343</v>
      </c>
      <c r="D107" t="s">
        <v>337</v>
      </c>
      <c r="E107" s="1">
        <v>40010</v>
      </c>
      <c r="F107" s="2">
        <v>6600000</v>
      </c>
      <c r="G107" s="1">
        <v>40010</v>
      </c>
      <c r="H107" s="1">
        <v>39636</v>
      </c>
    </row>
    <row r="108" spans="1:8" x14ac:dyDescent="0.25">
      <c r="A108" t="s">
        <v>334</v>
      </c>
      <c r="B108" t="s">
        <v>106</v>
      </c>
      <c r="C108" t="s">
        <v>343</v>
      </c>
      <c r="D108" t="s">
        <v>337</v>
      </c>
      <c r="E108" s="1">
        <v>40221</v>
      </c>
      <c r="F108" s="2">
        <v>6600000</v>
      </c>
      <c r="G108" s="1">
        <v>40221</v>
      </c>
      <c r="H108" s="1">
        <v>39636</v>
      </c>
    </row>
    <row r="109" spans="1:8" x14ac:dyDescent="0.25">
      <c r="A109" t="s">
        <v>334</v>
      </c>
      <c r="B109" t="s">
        <v>106</v>
      </c>
      <c r="C109" t="s">
        <v>343</v>
      </c>
      <c r="D109" t="s">
        <v>337</v>
      </c>
      <c r="E109" s="1">
        <v>40392</v>
      </c>
      <c r="F109" s="2">
        <v>6600000</v>
      </c>
      <c r="G109" s="1">
        <v>40392</v>
      </c>
      <c r="H109" s="1">
        <v>39636</v>
      </c>
    </row>
    <row r="110" spans="1:8" x14ac:dyDescent="0.25">
      <c r="A110" t="s">
        <v>334</v>
      </c>
      <c r="B110" t="s">
        <v>106</v>
      </c>
      <c r="C110" t="s">
        <v>343</v>
      </c>
      <c r="D110" t="s">
        <v>337</v>
      </c>
      <c r="E110" s="1">
        <v>40620</v>
      </c>
      <c r="F110" s="2">
        <v>6600000</v>
      </c>
      <c r="G110" s="1">
        <v>40620</v>
      </c>
      <c r="H110" s="1">
        <v>39636</v>
      </c>
    </row>
    <row r="111" spans="1:8" x14ac:dyDescent="0.25">
      <c r="A111" t="s">
        <v>334</v>
      </c>
      <c r="B111" t="s">
        <v>106</v>
      </c>
      <c r="C111" t="s">
        <v>343</v>
      </c>
      <c r="D111" t="s">
        <v>337</v>
      </c>
      <c r="E111" s="1">
        <v>40750</v>
      </c>
      <c r="F111" s="2">
        <v>6600000</v>
      </c>
      <c r="G111" s="1">
        <v>40750</v>
      </c>
      <c r="H111" s="1">
        <v>39636</v>
      </c>
    </row>
    <row r="112" spans="1:8" x14ac:dyDescent="0.25">
      <c r="A112" t="s">
        <v>334</v>
      </c>
      <c r="B112" t="s">
        <v>106</v>
      </c>
      <c r="C112" t="s">
        <v>343</v>
      </c>
      <c r="D112" t="s">
        <v>337</v>
      </c>
      <c r="E112" s="1">
        <v>40931</v>
      </c>
      <c r="F112" s="2">
        <v>5000000</v>
      </c>
      <c r="G112" s="1">
        <v>40931</v>
      </c>
      <c r="H112" s="1">
        <v>39636</v>
      </c>
    </row>
    <row r="113" spans="1:8" x14ac:dyDescent="0.25">
      <c r="A113" t="s">
        <v>334</v>
      </c>
      <c r="B113" t="s">
        <v>106</v>
      </c>
      <c r="C113" t="s">
        <v>343</v>
      </c>
      <c r="D113" t="s">
        <v>337</v>
      </c>
      <c r="E113" s="1">
        <v>40948</v>
      </c>
      <c r="F113" s="2">
        <v>1000000</v>
      </c>
      <c r="G113" s="1">
        <v>40948</v>
      </c>
      <c r="H113" s="1">
        <v>40935</v>
      </c>
    </row>
    <row r="114" spans="1:8" x14ac:dyDescent="0.25">
      <c r="A114" t="s">
        <v>334</v>
      </c>
      <c r="B114" t="s">
        <v>106</v>
      </c>
      <c r="C114" t="s">
        <v>343</v>
      </c>
      <c r="D114" t="s">
        <v>337</v>
      </c>
      <c r="E114" s="1">
        <v>41127</v>
      </c>
      <c r="F114" s="2">
        <v>4000000</v>
      </c>
      <c r="G114" s="1">
        <v>41127</v>
      </c>
      <c r="H114" s="1">
        <v>40935</v>
      </c>
    </row>
    <row r="115" spans="1:8" x14ac:dyDescent="0.25">
      <c r="A115" t="s">
        <v>334</v>
      </c>
      <c r="B115" t="s">
        <v>106</v>
      </c>
      <c r="C115" t="s">
        <v>343</v>
      </c>
      <c r="D115" t="s">
        <v>337</v>
      </c>
      <c r="E115" s="1">
        <v>41327</v>
      </c>
      <c r="F115" s="2">
        <v>5000000</v>
      </c>
      <c r="G115" s="1">
        <v>41327</v>
      </c>
      <c r="H115" s="1">
        <v>40935</v>
      </c>
    </row>
    <row r="116" spans="1:8" x14ac:dyDescent="0.25">
      <c r="A116" t="s">
        <v>334</v>
      </c>
      <c r="B116" t="s">
        <v>106</v>
      </c>
      <c r="C116" t="s">
        <v>343</v>
      </c>
      <c r="D116" t="s">
        <v>337</v>
      </c>
      <c r="E116" s="1">
        <v>41534</v>
      </c>
      <c r="F116" s="2">
        <v>5000000</v>
      </c>
      <c r="G116" s="1">
        <v>41534</v>
      </c>
      <c r="H116" s="1">
        <v>40935</v>
      </c>
    </row>
    <row r="117" spans="1:8" x14ac:dyDescent="0.25">
      <c r="A117" t="s">
        <v>334</v>
      </c>
      <c r="B117" t="s">
        <v>106</v>
      </c>
      <c r="C117" t="s">
        <v>343</v>
      </c>
      <c r="D117" t="s">
        <v>337</v>
      </c>
      <c r="E117" s="1">
        <v>41708</v>
      </c>
      <c r="F117" s="2">
        <v>5000000</v>
      </c>
      <c r="G117" s="1">
        <v>41708</v>
      </c>
      <c r="H117" s="1">
        <v>40935</v>
      </c>
    </row>
    <row r="118" spans="1:8" x14ac:dyDescent="0.25">
      <c r="A118" t="s">
        <v>334</v>
      </c>
      <c r="B118" t="s">
        <v>106</v>
      </c>
      <c r="C118" t="s">
        <v>343</v>
      </c>
      <c r="D118" t="s">
        <v>337</v>
      </c>
      <c r="E118" s="1">
        <v>41884</v>
      </c>
      <c r="F118" s="2">
        <v>5000000</v>
      </c>
      <c r="G118" s="1">
        <v>41884</v>
      </c>
      <c r="H118" s="1">
        <v>40935</v>
      </c>
    </row>
    <row r="119" spans="1:8" x14ac:dyDescent="0.25">
      <c r="A119" t="s">
        <v>334</v>
      </c>
      <c r="B119" t="s">
        <v>106</v>
      </c>
      <c r="C119" t="s">
        <v>343</v>
      </c>
      <c r="D119" t="s">
        <v>337</v>
      </c>
      <c r="E119" s="1">
        <v>42094</v>
      </c>
      <c r="F119" s="2">
        <v>5000000</v>
      </c>
      <c r="G119" s="1">
        <v>42094</v>
      </c>
      <c r="H119" s="1">
        <v>40935</v>
      </c>
    </row>
    <row r="120" spans="1:8" x14ac:dyDescent="0.25">
      <c r="A120" t="s">
        <v>334</v>
      </c>
      <c r="B120" t="s">
        <v>106</v>
      </c>
      <c r="C120" t="s">
        <v>343</v>
      </c>
      <c r="D120" t="s">
        <v>337</v>
      </c>
      <c r="E120" s="1">
        <v>45126</v>
      </c>
      <c r="F120" s="2">
        <v>46200000</v>
      </c>
      <c r="G120" s="1">
        <v>45126</v>
      </c>
      <c r="H120" s="1">
        <v>45124</v>
      </c>
    </row>
    <row r="121" spans="1:8" x14ac:dyDescent="0.25">
      <c r="A121" t="s">
        <v>334</v>
      </c>
      <c r="B121" t="s">
        <v>109</v>
      </c>
      <c r="C121" t="s">
        <v>344</v>
      </c>
      <c r="D121" t="s">
        <v>337</v>
      </c>
      <c r="E121" s="1">
        <v>38399</v>
      </c>
      <c r="F121" s="2">
        <v>1230000</v>
      </c>
      <c r="G121" s="1">
        <v>38399</v>
      </c>
      <c r="H121" s="1">
        <v>37356</v>
      </c>
    </row>
    <row r="122" spans="1:8" x14ac:dyDescent="0.25">
      <c r="A122" t="s">
        <v>334</v>
      </c>
      <c r="B122" t="s">
        <v>109</v>
      </c>
      <c r="C122" t="s">
        <v>344</v>
      </c>
      <c r="D122" t="s">
        <v>337</v>
      </c>
      <c r="E122" s="1">
        <v>38505</v>
      </c>
      <c r="F122" s="2">
        <v>1260000</v>
      </c>
      <c r="G122" s="1">
        <v>38505</v>
      </c>
      <c r="H122" s="1">
        <v>37356</v>
      </c>
    </row>
    <row r="123" spans="1:8" x14ac:dyDescent="0.25">
      <c r="A123" t="s">
        <v>334</v>
      </c>
      <c r="B123" t="s">
        <v>109</v>
      </c>
      <c r="C123" t="s">
        <v>344</v>
      </c>
      <c r="D123" t="s">
        <v>337</v>
      </c>
      <c r="E123" s="1">
        <v>44729</v>
      </c>
      <c r="F123" s="2">
        <v>11260000</v>
      </c>
      <c r="G123" s="1">
        <v>44729</v>
      </c>
      <c r="H123" s="1">
        <v>44727</v>
      </c>
    </row>
    <row r="124" spans="1:8" x14ac:dyDescent="0.25">
      <c r="A124" t="s">
        <v>334</v>
      </c>
      <c r="B124" t="s">
        <v>109</v>
      </c>
      <c r="C124" t="s">
        <v>344</v>
      </c>
      <c r="D124" t="s">
        <v>337</v>
      </c>
      <c r="E124" s="1">
        <v>44945</v>
      </c>
      <c r="F124" s="2">
        <v>11260000</v>
      </c>
      <c r="G124" s="1">
        <v>44945</v>
      </c>
      <c r="H124" s="1">
        <v>44727</v>
      </c>
    </row>
    <row r="125" spans="1:8" x14ac:dyDescent="0.25">
      <c r="A125" t="s">
        <v>334</v>
      </c>
      <c r="B125" t="s">
        <v>109</v>
      </c>
      <c r="C125" t="s">
        <v>344</v>
      </c>
      <c r="D125" t="s">
        <v>337</v>
      </c>
      <c r="E125" s="1">
        <v>45103</v>
      </c>
      <c r="F125" s="2">
        <v>4500000</v>
      </c>
      <c r="G125" s="1">
        <v>45103</v>
      </c>
      <c r="H125" s="1">
        <v>44727</v>
      </c>
    </row>
    <row r="126" spans="1:8" x14ac:dyDescent="0.25">
      <c r="A126" t="s">
        <v>334</v>
      </c>
      <c r="B126" t="s">
        <v>109</v>
      </c>
      <c r="C126" t="s">
        <v>344</v>
      </c>
      <c r="D126" t="s">
        <v>337</v>
      </c>
      <c r="E126" s="1">
        <v>45296</v>
      </c>
      <c r="F126" s="2">
        <v>4500000</v>
      </c>
      <c r="G126" s="1">
        <v>45296</v>
      </c>
      <c r="H126" s="1">
        <v>44727</v>
      </c>
    </row>
    <row r="127" spans="1:8" x14ac:dyDescent="0.25">
      <c r="A127" t="s">
        <v>334</v>
      </c>
      <c r="B127" t="s">
        <v>109</v>
      </c>
      <c r="C127" t="s">
        <v>344</v>
      </c>
      <c r="D127" t="s">
        <v>337</v>
      </c>
      <c r="E127" s="1">
        <v>45470</v>
      </c>
      <c r="F127" s="2">
        <v>4500000</v>
      </c>
      <c r="G127" s="1">
        <v>45470</v>
      </c>
      <c r="H127" s="1">
        <v>44727</v>
      </c>
    </row>
    <row r="128" spans="1:8" x14ac:dyDescent="0.25">
      <c r="A128" t="s">
        <v>334</v>
      </c>
      <c r="B128" t="s">
        <v>117</v>
      </c>
      <c r="C128" t="s">
        <v>345</v>
      </c>
      <c r="D128" t="s">
        <v>337</v>
      </c>
      <c r="E128" s="1">
        <v>38657</v>
      </c>
      <c r="F128" s="2">
        <v>2650000</v>
      </c>
      <c r="G128" s="1">
        <v>38657</v>
      </c>
      <c r="H128" s="1">
        <v>38649</v>
      </c>
    </row>
    <row r="129" spans="1:8" x14ac:dyDescent="0.25">
      <c r="A129" t="s">
        <v>334</v>
      </c>
      <c r="B129" t="s">
        <v>117</v>
      </c>
      <c r="C129" t="s">
        <v>345</v>
      </c>
      <c r="D129" t="s">
        <v>337</v>
      </c>
      <c r="E129" s="1">
        <v>38847</v>
      </c>
      <c r="F129" s="2">
        <v>2650000</v>
      </c>
      <c r="G129" s="1">
        <v>38847</v>
      </c>
      <c r="H129" s="1">
        <v>38649</v>
      </c>
    </row>
    <row r="130" spans="1:8" x14ac:dyDescent="0.25">
      <c r="A130" t="s">
        <v>334</v>
      </c>
      <c r="B130" t="s">
        <v>117</v>
      </c>
      <c r="C130" t="s">
        <v>345</v>
      </c>
      <c r="D130" t="s">
        <v>337</v>
      </c>
      <c r="E130" s="1">
        <v>39094</v>
      </c>
      <c r="F130" s="2">
        <v>2650000</v>
      </c>
      <c r="G130" s="1">
        <v>39094</v>
      </c>
      <c r="H130" s="1">
        <v>38649</v>
      </c>
    </row>
    <row r="131" spans="1:8" x14ac:dyDescent="0.25">
      <c r="A131" t="s">
        <v>334</v>
      </c>
      <c r="B131" t="s">
        <v>117</v>
      </c>
      <c r="C131" t="s">
        <v>345</v>
      </c>
      <c r="D131" t="s">
        <v>337</v>
      </c>
      <c r="E131" s="1">
        <v>39262</v>
      </c>
      <c r="F131" s="2">
        <v>2650000</v>
      </c>
      <c r="G131" s="1">
        <v>39262</v>
      </c>
      <c r="H131" s="1">
        <v>38649</v>
      </c>
    </row>
    <row r="132" spans="1:8" x14ac:dyDescent="0.25">
      <c r="A132" t="s">
        <v>334</v>
      </c>
      <c r="B132" t="s">
        <v>117</v>
      </c>
      <c r="C132" t="s">
        <v>345</v>
      </c>
      <c r="D132" t="s">
        <v>337</v>
      </c>
      <c r="E132" s="1">
        <v>39457</v>
      </c>
      <c r="F132" s="2">
        <v>2650000</v>
      </c>
      <c r="G132" s="1">
        <v>39457</v>
      </c>
      <c r="H132" s="1">
        <v>38649</v>
      </c>
    </row>
    <row r="133" spans="1:8" x14ac:dyDescent="0.25">
      <c r="A133" t="s">
        <v>334</v>
      </c>
      <c r="B133" t="s">
        <v>117</v>
      </c>
      <c r="C133" t="s">
        <v>345</v>
      </c>
      <c r="D133" t="s">
        <v>337</v>
      </c>
      <c r="E133" s="1">
        <v>39638</v>
      </c>
      <c r="F133" s="2">
        <v>2650000</v>
      </c>
      <c r="G133" s="1">
        <v>39638</v>
      </c>
      <c r="H133" s="1">
        <v>38649</v>
      </c>
    </row>
    <row r="134" spans="1:8" x14ac:dyDescent="0.25">
      <c r="A134" t="s">
        <v>334</v>
      </c>
      <c r="B134" t="s">
        <v>117</v>
      </c>
      <c r="C134" t="s">
        <v>345</v>
      </c>
      <c r="D134" t="s">
        <v>337</v>
      </c>
      <c r="E134" s="1">
        <v>39829</v>
      </c>
      <c r="F134" s="2">
        <v>2670000</v>
      </c>
      <c r="G134" s="1">
        <v>39829</v>
      </c>
      <c r="H134" s="1">
        <v>38649</v>
      </c>
    </row>
    <row r="135" spans="1:8" x14ac:dyDescent="0.25">
      <c r="A135" t="s">
        <v>334</v>
      </c>
      <c r="B135" t="s">
        <v>117</v>
      </c>
      <c r="C135" t="s">
        <v>345</v>
      </c>
      <c r="D135" t="s">
        <v>337</v>
      </c>
      <c r="E135" s="1">
        <v>42921</v>
      </c>
      <c r="F135" s="2">
        <v>124200000</v>
      </c>
      <c r="G135" s="1">
        <v>42921</v>
      </c>
      <c r="H135" s="1">
        <v>42912</v>
      </c>
    </row>
    <row r="136" spans="1:8" x14ac:dyDescent="0.25">
      <c r="A136" t="s">
        <v>334</v>
      </c>
      <c r="B136" t="s">
        <v>117</v>
      </c>
      <c r="C136" t="s">
        <v>345</v>
      </c>
      <c r="D136" t="s">
        <v>337</v>
      </c>
      <c r="E136" s="1">
        <v>43098</v>
      </c>
      <c r="F136" s="2">
        <v>82800000</v>
      </c>
      <c r="G136" s="1">
        <v>43098</v>
      </c>
      <c r="H136" s="1">
        <v>42912</v>
      </c>
    </row>
    <row r="137" spans="1:8" x14ac:dyDescent="0.25">
      <c r="A137" t="s">
        <v>334</v>
      </c>
      <c r="B137" t="s">
        <v>117</v>
      </c>
      <c r="C137" t="s">
        <v>345</v>
      </c>
      <c r="D137" t="s">
        <v>337</v>
      </c>
      <c r="E137" s="1">
        <v>43297</v>
      </c>
      <c r="F137" s="2">
        <v>55200000</v>
      </c>
      <c r="G137" s="1">
        <v>43297</v>
      </c>
      <c r="H137" s="1">
        <v>42912</v>
      </c>
    </row>
    <row r="138" spans="1:8" x14ac:dyDescent="0.25">
      <c r="A138" t="s">
        <v>334</v>
      </c>
      <c r="B138" t="s">
        <v>117</v>
      </c>
      <c r="C138" t="s">
        <v>345</v>
      </c>
      <c r="D138" t="s">
        <v>337</v>
      </c>
      <c r="E138" s="1">
        <v>43461</v>
      </c>
      <c r="F138" s="2">
        <v>55200000</v>
      </c>
      <c r="G138" s="1">
        <v>43461</v>
      </c>
      <c r="H138" s="1">
        <v>42912</v>
      </c>
    </row>
    <row r="139" spans="1:8" x14ac:dyDescent="0.25">
      <c r="A139" t="s">
        <v>334</v>
      </c>
      <c r="B139" t="s">
        <v>117</v>
      </c>
      <c r="C139" t="s">
        <v>345</v>
      </c>
      <c r="D139" t="s">
        <v>337</v>
      </c>
      <c r="E139" s="1">
        <v>43671</v>
      </c>
      <c r="F139" s="2">
        <v>55200000</v>
      </c>
      <c r="G139" s="1">
        <v>43671</v>
      </c>
      <c r="H139" s="1">
        <v>42912</v>
      </c>
    </row>
    <row r="140" spans="1:8" x14ac:dyDescent="0.25">
      <c r="A140" t="s">
        <v>334</v>
      </c>
      <c r="B140" t="s">
        <v>117</v>
      </c>
      <c r="C140" t="s">
        <v>345</v>
      </c>
      <c r="D140" t="s">
        <v>337</v>
      </c>
      <c r="E140" s="1">
        <v>43860</v>
      </c>
      <c r="F140" s="2">
        <v>55200000</v>
      </c>
      <c r="G140" s="1">
        <v>43860</v>
      </c>
      <c r="H140" s="1">
        <v>42912</v>
      </c>
    </row>
    <row r="141" spans="1:8" x14ac:dyDescent="0.25">
      <c r="A141" t="s">
        <v>339</v>
      </c>
      <c r="B141" t="s">
        <v>117</v>
      </c>
      <c r="C141" t="s">
        <v>345</v>
      </c>
      <c r="D141" t="s">
        <v>340</v>
      </c>
      <c r="E141" s="1">
        <v>44410</v>
      </c>
      <c r="F141" s="2">
        <v>82800000</v>
      </c>
      <c r="G141" s="1">
        <v>44410</v>
      </c>
      <c r="H141" s="1">
        <v>44406</v>
      </c>
    </row>
    <row r="142" spans="1:8" x14ac:dyDescent="0.25">
      <c r="A142" t="s">
        <v>334</v>
      </c>
      <c r="B142" t="s">
        <v>117</v>
      </c>
      <c r="C142" t="s">
        <v>345</v>
      </c>
      <c r="D142" t="s">
        <v>337</v>
      </c>
      <c r="E142" s="1">
        <v>44410</v>
      </c>
      <c r="F142" s="2">
        <v>41400000</v>
      </c>
      <c r="G142" s="1">
        <v>44410</v>
      </c>
      <c r="H142" s="1">
        <v>44406</v>
      </c>
    </row>
    <row r="143" spans="1:8" x14ac:dyDescent="0.25">
      <c r="A143" t="s">
        <v>339</v>
      </c>
      <c r="B143" t="s">
        <v>117</v>
      </c>
      <c r="C143" t="s">
        <v>345</v>
      </c>
      <c r="D143" t="s">
        <v>340</v>
      </c>
      <c r="E143" s="1">
        <v>44617</v>
      </c>
      <c r="F143" s="2">
        <v>55200000</v>
      </c>
      <c r="G143" s="1">
        <v>44617</v>
      </c>
      <c r="H143" s="1">
        <v>44406</v>
      </c>
    </row>
    <row r="144" spans="1:8" x14ac:dyDescent="0.25">
      <c r="A144" t="s">
        <v>334</v>
      </c>
      <c r="B144" t="s">
        <v>117</v>
      </c>
      <c r="C144" t="s">
        <v>345</v>
      </c>
      <c r="D144" t="s">
        <v>337</v>
      </c>
      <c r="E144" s="1">
        <v>44617</v>
      </c>
      <c r="F144" s="2">
        <v>27600000</v>
      </c>
      <c r="G144" s="1">
        <v>44617</v>
      </c>
      <c r="H144" s="1">
        <v>44406</v>
      </c>
    </row>
    <row r="145" spans="1:8" x14ac:dyDescent="0.25">
      <c r="A145" t="s">
        <v>339</v>
      </c>
      <c r="B145" t="s">
        <v>117</v>
      </c>
      <c r="C145" t="s">
        <v>345</v>
      </c>
      <c r="D145" t="s">
        <v>340</v>
      </c>
      <c r="E145" s="1">
        <v>44769</v>
      </c>
      <c r="F145" s="2">
        <v>36800000</v>
      </c>
      <c r="G145" s="1">
        <v>44769</v>
      </c>
      <c r="H145" s="1">
        <v>44406</v>
      </c>
    </row>
    <row r="146" spans="1:8" x14ac:dyDescent="0.25">
      <c r="A146" t="s">
        <v>334</v>
      </c>
      <c r="B146" t="s">
        <v>117</v>
      </c>
      <c r="C146" t="s">
        <v>345</v>
      </c>
      <c r="D146" t="s">
        <v>337</v>
      </c>
      <c r="E146" s="1">
        <v>44769</v>
      </c>
      <c r="F146" s="2">
        <v>18400000</v>
      </c>
      <c r="G146" s="1">
        <v>44769</v>
      </c>
      <c r="H146" s="1">
        <v>44406</v>
      </c>
    </row>
    <row r="147" spans="1:8" x14ac:dyDescent="0.25">
      <c r="A147" t="s">
        <v>339</v>
      </c>
      <c r="B147" t="s">
        <v>117</v>
      </c>
      <c r="C147" t="s">
        <v>345</v>
      </c>
      <c r="D147" t="s">
        <v>340</v>
      </c>
      <c r="E147" s="1">
        <v>44995</v>
      </c>
      <c r="F147" s="2">
        <v>36800000</v>
      </c>
      <c r="G147" s="1">
        <v>44995</v>
      </c>
      <c r="H147" s="1">
        <v>44406</v>
      </c>
    </row>
    <row r="148" spans="1:8" x14ac:dyDescent="0.25">
      <c r="A148" t="s">
        <v>334</v>
      </c>
      <c r="B148" t="s">
        <v>117</v>
      </c>
      <c r="C148" t="s">
        <v>345</v>
      </c>
      <c r="D148" t="s">
        <v>337</v>
      </c>
      <c r="E148" s="1">
        <v>44995</v>
      </c>
      <c r="F148" s="2">
        <v>18400000</v>
      </c>
      <c r="G148" s="1">
        <v>44995</v>
      </c>
      <c r="H148" s="1">
        <v>44406</v>
      </c>
    </row>
    <row r="149" spans="1:8" x14ac:dyDescent="0.25">
      <c r="A149" t="s">
        <v>339</v>
      </c>
      <c r="B149" t="s">
        <v>117</v>
      </c>
      <c r="C149" t="s">
        <v>345</v>
      </c>
      <c r="D149" t="s">
        <v>340</v>
      </c>
      <c r="E149" s="1">
        <v>45112</v>
      </c>
      <c r="F149" s="2">
        <v>36800000</v>
      </c>
      <c r="G149" s="1">
        <v>45112</v>
      </c>
      <c r="H149" s="1">
        <v>44406</v>
      </c>
    </row>
    <row r="150" spans="1:8" x14ac:dyDescent="0.25">
      <c r="A150" t="s">
        <v>334</v>
      </c>
      <c r="B150" t="s">
        <v>117</v>
      </c>
      <c r="C150" t="s">
        <v>345</v>
      </c>
      <c r="D150" t="s">
        <v>337</v>
      </c>
      <c r="E150" s="1">
        <v>45112</v>
      </c>
      <c r="F150" s="2">
        <v>18400000</v>
      </c>
      <c r="G150" s="1">
        <v>45112</v>
      </c>
      <c r="H150" s="1">
        <v>44406</v>
      </c>
    </row>
    <row r="151" spans="1:8" x14ac:dyDescent="0.25">
      <c r="A151" t="s">
        <v>334</v>
      </c>
      <c r="B151" t="s">
        <v>117</v>
      </c>
      <c r="C151" t="s">
        <v>345</v>
      </c>
      <c r="D151" t="s">
        <v>337</v>
      </c>
      <c r="E151" s="1">
        <v>45282</v>
      </c>
      <c r="F151" s="2">
        <v>18400000</v>
      </c>
      <c r="G151" s="1">
        <v>45282</v>
      </c>
      <c r="H151" s="1">
        <v>44406</v>
      </c>
    </row>
    <row r="152" spans="1:8" x14ac:dyDescent="0.25">
      <c r="A152" t="s">
        <v>339</v>
      </c>
      <c r="B152" t="s">
        <v>117</v>
      </c>
      <c r="C152" t="s">
        <v>345</v>
      </c>
      <c r="D152" t="s">
        <v>340</v>
      </c>
      <c r="E152" s="1">
        <v>45282</v>
      </c>
      <c r="F152" s="2">
        <v>36800000</v>
      </c>
      <c r="G152" s="1">
        <v>45282</v>
      </c>
      <c r="H152" s="1">
        <v>44406</v>
      </c>
    </row>
    <row r="153" spans="1:8" x14ac:dyDescent="0.25">
      <c r="A153" t="s">
        <v>334</v>
      </c>
      <c r="B153" t="s">
        <v>117</v>
      </c>
      <c r="C153" t="s">
        <v>345</v>
      </c>
      <c r="D153" t="s">
        <v>337</v>
      </c>
      <c r="E153" s="1">
        <v>45482</v>
      </c>
      <c r="F153" s="2">
        <v>18400000</v>
      </c>
      <c r="G153" s="1">
        <v>45482</v>
      </c>
      <c r="H153" s="1">
        <v>44406</v>
      </c>
    </row>
    <row r="154" spans="1:8" x14ac:dyDescent="0.25">
      <c r="A154" t="s">
        <v>339</v>
      </c>
      <c r="B154" t="s">
        <v>117</v>
      </c>
      <c r="C154" t="s">
        <v>345</v>
      </c>
      <c r="D154" t="s">
        <v>340</v>
      </c>
      <c r="E154" s="1">
        <v>45482</v>
      </c>
      <c r="F154" s="2">
        <v>36800000</v>
      </c>
      <c r="G154" s="1">
        <v>45482</v>
      </c>
      <c r="H154" s="1">
        <v>44406</v>
      </c>
    </row>
    <row r="155" spans="1:8" x14ac:dyDescent="0.25">
      <c r="A155" t="s">
        <v>334</v>
      </c>
      <c r="B155" t="s">
        <v>120</v>
      </c>
      <c r="C155" t="s">
        <v>346</v>
      </c>
      <c r="D155" t="s">
        <v>337</v>
      </c>
      <c r="E155" s="1">
        <v>39094</v>
      </c>
      <c r="F155" s="2">
        <v>17600000</v>
      </c>
      <c r="G155" s="1">
        <v>39094</v>
      </c>
      <c r="H155" s="1">
        <v>39073</v>
      </c>
    </row>
    <row r="156" spans="1:8" x14ac:dyDescent="0.25">
      <c r="A156" t="s">
        <v>334</v>
      </c>
      <c r="B156" t="s">
        <v>120</v>
      </c>
      <c r="C156" t="s">
        <v>346</v>
      </c>
      <c r="D156" t="s">
        <v>337</v>
      </c>
      <c r="E156" s="1">
        <v>39364</v>
      </c>
      <c r="F156" s="2">
        <v>3100000</v>
      </c>
      <c r="G156" s="1">
        <v>39364</v>
      </c>
      <c r="H156" s="1">
        <v>39073</v>
      </c>
    </row>
    <row r="157" spans="1:8" x14ac:dyDescent="0.25">
      <c r="A157" t="s">
        <v>334</v>
      </c>
      <c r="B157" t="s">
        <v>120</v>
      </c>
      <c r="C157" t="s">
        <v>346</v>
      </c>
      <c r="D157" t="s">
        <v>337</v>
      </c>
      <c r="E157" s="1">
        <v>39624</v>
      </c>
      <c r="F157" s="2">
        <v>8670000</v>
      </c>
      <c r="G157" s="1">
        <v>39624</v>
      </c>
      <c r="H157" s="1">
        <v>39073</v>
      </c>
    </row>
    <row r="158" spans="1:8" x14ac:dyDescent="0.25">
      <c r="A158" t="s">
        <v>334</v>
      </c>
      <c r="B158" t="s">
        <v>120</v>
      </c>
      <c r="C158" t="s">
        <v>346</v>
      </c>
      <c r="D158" t="s">
        <v>337</v>
      </c>
      <c r="E158" s="1">
        <v>39811</v>
      </c>
      <c r="F158" s="2">
        <v>5885000</v>
      </c>
      <c r="G158" s="1">
        <v>39811</v>
      </c>
      <c r="H158" s="1">
        <v>39073</v>
      </c>
    </row>
    <row r="159" spans="1:8" x14ac:dyDescent="0.25">
      <c r="A159" t="s">
        <v>334</v>
      </c>
      <c r="B159" t="s">
        <v>120</v>
      </c>
      <c r="C159" t="s">
        <v>346</v>
      </c>
      <c r="D159" t="s">
        <v>337</v>
      </c>
      <c r="E159" s="1">
        <v>40008</v>
      </c>
      <c r="F159" s="2">
        <v>14240000</v>
      </c>
      <c r="G159" s="1">
        <v>40008</v>
      </c>
      <c r="H159" s="1">
        <v>39073</v>
      </c>
    </row>
    <row r="160" spans="1:8" x14ac:dyDescent="0.25">
      <c r="A160" t="s">
        <v>334</v>
      </c>
      <c r="B160" t="s">
        <v>120</v>
      </c>
      <c r="C160" t="s">
        <v>346</v>
      </c>
      <c r="D160" t="s">
        <v>337</v>
      </c>
      <c r="E160" s="1">
        <v>40158</v>
      </c>
      <c r="F160" s="2">
        <v>11455000</v>
      </c>
      <c r="G160" s="1">
        <v>40158</v>
      </c>
      <c r="H160" s="1">
        <v>39073</v>
      </c>
    </row>
    <row r="161" spans="1:8" x14ac:dyDescent="0.25">
      <c r="A161" t="s">
        <v>334</v>
      </c>
      <c r="B161" t="s">
        <v>120</v>
      </c>
      <c r="C161" t="s">
        <v>346</v>
      </c>
      <c r="D161" t="s">
        <v>337</v>
      </c>
      <c r="E161" s="1">
        <v>40423</v>
      </c>
      <c r="F161" s="2">
        <v>8670000</v>
      </c>
      <c r="G161" s="1">
        <v>40423</v>
      </c>
      <c r="H161" s="1">
        <v>39073</v>
      </c>
    </row>
    <row r="162" spans="1:8" x14ac:dyDescent="0.25">
      <c r="A162" t="s">
        <v>334</v>
      </c>
      <c r="B162" t="s">
        <v>120</v>
      </c>
      <c r="C162" t="s">
        <v>346</v>
      </c>
      <c r="D162" t="s">
        <v>337</v>
      </c>
      <c r="E162" s="1">
        <v>41093</v>
      </c>
      <c r="F162" s="2">
        <v>6963000</v>
      </c>
      <c r="G162" s="1">
        <v>41093</v>
      </c>
      <c r="H162" s="1">
        <v>41085</v>
      </c>
    </row>
    <row r="163" spans="1:8" x14ac:dyDescent="0.25">
      <c r="A163" t="s">
        <v>334</v>
      </c>
      <c r="B163" t="s">
        <v>120</v>
      </c>
      <c r="C163" t="s">
        <v>346</v>
      </c>
      <c r="D163" t="s">
        <v>337</v>
      </c>
      <c r="E163" s="1">
        <v>42579</v>
      </c>
      <c r="F163" s="2">
        <v>12525000</v>
      </c>
      <c r="G163" s="1">
        <v>42579</v>
      </c>
      <c r="H163" s="1">
        <v>42571</v>
      </c>
    </row>
    <row r="164" spans="1:8" x14ac:dyDescent="0.25">
      <c r="A164" t="s">
        <v>334</v>
      </c>
      <c r="B164" t="s">
        <v>120</v>
      </c>
      <c r="C164" t="s">
        <v>346</v>
      </c>
      <c r="D164" t="s">
        <v>337</v>
      </c>
      <c r="E164" s="1">
        <v>42734</v>
      </c>
      <c r="F164" s="2">
        <v>12525000</v>
      </c>
      <c r="G164" s="1">
        <v>42734</v>
      </c>
      <c r="H164" s="1">
        <v>42571</v>
      </c>
    </row>
    <row r="165" spans="1:8" x14ac:dyDescent="0.25">
      <c r="A165" t="s">
        <v>334</v>
      </c>
      <c r="B165" t="s">
        <v>120</v>
      </c>
      <c r="C165" t="s">
        <v>346</v>
      </c>
      <c r="D165" t="s">
        <v>337</v>
      </c>
      <c r="E165" s="1">
        <v>42941</v>
      </c>
      <c r="F165" s="2">
        <v>11700000</v>
      </c>
      <c r="G165" s="1">
        <v>42941</v>
      </c>
      <c r="H165" s="1">
        <v>42571</v>
      </c>
    </row>
    <row r="166" spans="1:8" x14ac:dyDescent="0.25">
      <c r="A166" t="s">
        <v>334</v>
      </c>
      <c r="B166" t="s">
        <v>120</v>
      </c>
      <c r="C166" t="s">
        <v>346</v>
      </c>
      <c r="D166" t="s">
        <v>337</v>
      </c>
      <c r="E166" s="1">
        <v>43096</v>
      </c>
      <c r="F166" s="2">
        <v>28410000</v>
      </c>
      <c r="G166" s="1">
        <v>43096</v>
      </c>
      <c r="H166" s="1">
        <v>42571</v>
      </c>
    </row>
    <row r="167" spans="1:8" x14ac:dyDescent="0.25">
      <c r="A167" t="s">
        <v>334</v>
      </c>
      <c r="B167" t="s">
        <v>120</v>
      </c>
      <c r="C167" t="s">
        <v>346</v>
      </c>
      <c r="D167" t="s">
        <v>337</v>
      </c>
      <c r="E167" s="1">
        <v>43291</v>
      </c>
      <c r="F167" s="2">
        <v>22840000</v>
      </c>
      <c r="G167" s="1">
        <v>43291</v>
      </c>
      <c r="H167" s="1">
        <v>42571</v>
      </c>
    </row>
    <row r="168" spans="1:8" x14ac:dyDescent="0.25">
      <c r="A168" t="s">
        <v>334</v>
      </c>
      <c r="B168" t="s">
        <v>120</v>
      </c>
      <c r="C168" t="s">
        <v>346</v>
      </c>
      <c r="D168" t="s">
        <v>337</v>
      </c>
      <c r="E168" s="1">
        <v>43462</v>
      </c>
      <c r="F168" s="2">
        <v>22840000</v>
      </c>
      <c r="G168" s="1">
        <v>43462</v>
      </c>
      <c r="H168" s="1">
        <v>42571</v>
      </c>
    </row>
    <row r="169" spans="1:8" x14ac:dyDescent="0.25">
      <c r="A169" t="s">
        <v>334</v>
      </c>
      <c r="B169" t="s">
        <v>120</v>
      </c>
      <c r="C169" t="s">
        <v>346</v>
      </c>
      <c r="D169" t="s">
        <v>337</v>
      </c>
      <c r="E169" s="1">
        <v>43656</v>
      </c>
      <c r="F169" s="2">
        <v>22840000</v>
      </c>
      <c r="G169" s="1">
        <v>43656</v>
      </c>
      <c r="H169" s="1">
        <v>42571</v>
      </c>
    </row>
    <row r="170" spans="1:8" x14ac:dyDescent="0.25">
      <c r="A170" t="s">
        <v>334</v>
      </c>
      <c r="B170" t="s">
        <v>120</v>
      </c>
      <c r="C170" t="s">
        <v>346</v>
      </c>
      <c r="D170" t="s">
        <v>337</v>
      </c>
      <c r="E170" s="1">
        <v>43832</v>
      </c>
      <c r="F170" s="2">
        <v>11936000</v>
      </c>
      <c r="G170" s="1">
        <v>43832</v>
      </c>
      <c r="H170" s="1">
        <v>43819</v>
      </c>
    </row>
    <row r="171" spans="1:8" x14ac:dyDescent="0.25">
      <c r="A171" t="s">
        <v>334</v>
      </c>
      <c r="B171" t="s">
        <v>120</v>
      </c>
      <c r="C171" t="s">
        <v>346</v>
      </c>
      <c r="D171" t="s">
        <v>337</v>
      </c>
      <c r="E171" s="1">
        <v>44210</v>
      </c>
      <c r="F171" s="2">
        <v>23872000</v>
      </c>
      <c r="G171" s="1">
        <v>44210</v>
      </c>
      <c r="H171" s="1">
        <v>43819</v>
      </c>
    </row>
    <row r="172" spans="1:8" x14ac:dyDescent="0.25">
      <c r="A172" t="s">
        <v>334</v>
      </c>
      <c r="B172" t="s">
        <v>120</v>
      </c>
      <c r="C172" t="s">
        <v>346</v>
      </c>
      <c r="D172" t="s">
        <v>337</v>
      </c>
      <c r="E172" s="1">
        <v>45047</v>
      </c>
      <c r="F172" s="2">
        <v>11300000</v>
      </c>
      <c r="G172" s="1">
        <v>45047</v>
      </c>
      <c r="H172" s="1">
        <v>45043</v>
      </c>
    </row>
    <row r="173" spans="1:8" x14ac:dyDescent="0.25">
      <c r="A173" t="s">
        <v>334</v>
      </c>
      <c r="B173" t="s">
        <v>120</v>
      </c>
      <c r="C173" t="s">
        <v>346</v>
      </c>
      <c r="D173" t="s">
        <v>337</v>
      </c>
      <c r="E173" s="1">
        <v>45231</v>
      </c>
      <c r="F173" s="2">
        <v>19170000</v>
      </c>
      <c r="G173" s="1">
        <v>45231</v>
      </c>
      <c r="H173" s="1">
        <v>45043</v>
      </c>
    </row>
    <row r="174" spans="1:8" x14ac:dyDescent="0.25">
      <c r="A174" t="s">
        <v>334</v>
      </c>
      <c r="B174" t="s">
        <v>120</v>
      </c>
      <c r="C174" t="s">
        <v>346</v>
      </c>
      <c r="D174" t="s">
        <v>337</v>
      </c>
      <c r="E174" s="1">
        <v>45469</v>
      </c>
      <c r="F174" s="2">
        <v>18600000</v>
      </c>
      <c r="G174" s="1">
        <v>45469</v>
      </c>
      <c r="H174" s="1">
        <v>45043</v>
      </c>
    </row>
    <row r="175" spans="1:8" x14ac:dyDescent="0.25">
      <c r="A175" t="s">
        <v>334</v>
      </c>
      <c r="B175" t="s">
        <v>121</v>
      </c>
      <c r="C175" t="s">
        <v>347</v>
      </c>
      <c r="D175" t="s">
        <v>337</v>
      </c>
      <c r="E175" s="1">
        <v>38405</v>
      </c>
      <c r="F175" s="2">
        <v>4200000</v>
      </c>
      <c r="G175" s="1">
        <v>38405</v>
      </c>
      <c r="H175" s="1">
        <v>38399</v>
      </c>
    </row>
    <row r="176" spans="1:8" x14ac:dyDescent="0.25">
      <c r="A176" t="s">
        <v>334</v>
      </c>
      <c r="B176" t="s">
        <v>121</v>
      </c>
      <c r="C176" t="s">
        <v>347</v>
      </c>
      <c r="D176" t="s">
        <v>337</v>
      </c>
      <c r="E176" s="1">
        <v>41862</v>
      </c>
      <c r="F176" s="2">
        <v>13310000</v>
      </c>
      <c r="G176" s="1">
        <v>41862</v>
      </c>
      <c r="H176" s="1">
        <v>41852</v>
      </c>
    </row>
    <row r="177" spans="1:8" x14ac:dyDescent="0.25">
      <c r="A177" t="s">
        <v>334</v>
      </c>
      <c r="B177" t="s">
        <v>121</v>
      </c>
      <c r="C177" t="s">
        <v>347</v>
      </c>
      <c r="D177" t="s">
        <v>337</v>
      </c>
      <c r="E177" s="1">
        <v>42131</v>
      </c>
      <c r="F177" s="2">
        <v>19970000</v>
      </c>
      <c r="G177" s="1">
        <v>42131</v>
      </c>
      <c r="H177" s="1">
        <v>41852</v>
      </c>
    </row>
    <row r="178" spans="1:8" x14ac:dyDescent="0.25">
      <c r="A178" t="s">
        <v>334</v>
      </c>
      <c r="B178" t="s">
        <v>121</v>
      </c>
      <c r="C178" t="s">
        <v>347</v>
      </c>
      <c r="D178" t="s">
        <v>337</v>
      </c>
      <c r="E178" s="1">
        <v>42360</v>
      </c>
      <c r="F178" s="2">
        <v>20650000</v>
      </c>
      <c r="G178" s="1">
        <v>42360</v>
      </c>
      <c r="H178" s="1">
        <v>41852</v>
      </c>
    </row>
    <row r="179" spans="1:8" x14ac:dyDescent="0.25">
      <c r="A179" t="s">
        <v>334</v>
      </c>
      <c r="B179" t="s">
        <v>121</v>
      </c>
      <c r="C179" t="s">
        <v>347</v>
      </c>
      <c r="D179" t="s">
        <v>337</v>
      </c>
      <c r="E179" s="1">
        <v>42692</v>
      </c>
      <c r="F179" s="2">
        <v>44410000</v>
      </c>
      <c r="G179" s="1">
        <v>42692</v>
      </c>
      <c r="H179" s="1">
        <v>41852</v>
      </c>
    </row>
    <row r="180" spans="1:8" x14ac:dyDescent="0.25">
      <c r="A180" t="s">
        <v>334</v>
      </c>
      <c r="B180" t="s">
        <v>121</v>
      </c>
      <c r="C180" t="s">
        <v>347</v>
      </c>
      <c r="D180" t="s">
        <v>337</v>
      </c>
      <c r="E180" s="1">
        <v>42926</v>
      </c>
      <c r="F180" s="2">
        <v>35050000</v>
      </c>
      <c r="G180" s="1">
        <v>42926</v>
      </c>
      <c r="H180" s="1">
        <v>42916</v>
      </c>
    </row>
    <row r="181" spans="1:8" x14ac:dyDescent="0.25">
      <c r="A181" t="s">
        <v>334</v>
      </c>
      <c r="B181" t="s">
        <v>121</v>
      </c>
      <c r="C181" t="s">
        <v>347</v>
      </c>
      <c r="D181" t="s">
        <v>337</v>
      </c>
      <c r="E181" s="1">
        <v>43213</v>
      </c>
      <c r="F181" s="2">
        <v>35050000</v>
      </c>
      <c r="G181" s="1">
        <v>43213</v>
      </c>
      <c r="H181" s="1">
        <v>42916</v>
      </c>
    </row>
    <row r="182" spans="1:8" x14ac:dyDescent="0.25">
      <c r="A182" t="s">
        <v>334</v>
      </c>
      <c r="B182" t="s">
        <v>121</v>
      </c>
      <c r="C182" t="s">
        <v>347</v>
      </c>
      <c r="D182" t="s">
        <v>337</v>
      </c>
      <c r="E182" s="1">
        <v>43318</v>
      </c>
      <c r="F182" s="2">
        <v>35050000</v>
      </c>
      <c r="G182" s="1">
        <v>43318</v>
      </c>
      <c r="H182" s="1">
        <v>42916</v>
      </c>
    </row>
    <row r="183" spans="1:8" x14ac:dyDescent="0.25">
      <c r="A183" t="s">
        <v>334</v>
      </c>
      <c r="B183" t="s">
        <v>121</v>
      </c>
      <c r="C183" t="s">
        <v>347</v>
      </c>
      <c r="D183" t="s">
        <v>337</v>
      </c>
      <c r="E183" s="1">
        <v>43462</v>
      </c>
      <c r="F183" s="2">
        <v>35050000</v>
      </c>
      <c r="G183" s="1">
        <v>43462</v>
      </c>
      <c r="H183" s="1">
        <v>42916</v>
      </c>
    </row>
    <row r="184" spans="1:8" x14ac:dyDescent="0.25">
      <c r="A184" t="s">
        <v>334</v>
      </c>
      <c r="B184" t="s">
        <v>121</v>
      </c>
      <c r="C184" t="s">
        <v>347</v>
      </c>
      <c r="D184" t="s">
        <v>337</v>
      </c>
      <c r="E184" s="1">
        <v>43657</v>
      </c>
      <c r="F184" s="2">
        <v>28040000</v>
      </c>
      <c r="G184" s="1">
        <v>43657</v>
      </c>
      <c r="H184" s="1">
        <v>42916</v>
      </c>
    </row>
    <row r="185" spans="1:8" x14ac:dyDescent="0.25">
      <c r="A185" t="s">
        <v>334</v>
      </c>
      <c r="B185" t="s">
        <v>121</v>
      </c>
      <c r="C185" t="s">
        <v>347</v>
      </c>
      <c r="D185" t="s">
        <v>337</v>
      </c>
      <c r="E185" s="1">
        <v>43822</v>
      </c>
      <c r="F185" s="2">
        <v>28040000</v>
      </c>
      <c r="G185" s="1">
        <v>43822</v>
      </c>
      <c r="H185" s="1">
        <v>42916</v>
      </c>
    </row>
    <row r="186" spans="1:8" x14ac:dyDescent="0.25">
      <c r="A186" t="s">
        <v>334</v>
      </c>
      <c r="B186" t="s">
        <v>121</v>
      </c>
      <c r="C186" t="s">
        <v>347</v>
      </c>
      <c r="D186" t="s">
        <v>337</v>
      </c>
      <c r="E186" s="1">
        <v>44544</v>
      </c>
      <c r="F186" s="2">
        <v>56080000</v>
      </c>
      <c r="G186" s="1">
        <v>44544</v>
      </c>
      <c r="H186" s="1">
        <v>44540</v>
      </c>
    </row>
    <row r="187" spans="1:8" x14ac:dyDescent="0.25">
      <c r="A187" t="s">
        <v>334</v>
      </c>
      <c r="B187" t="s">
        <v>121</v>
      </c>
      <c r="C187" t="s">
        <v>347</v>
      </c>
      <c r="D187" t="s">
        <v>337</v>
      </c>
      <c r="E187" s="1">
        <v>44922</v>
      </c>
      <c r="F187" s="2">
        <v>112160000</v>
      </c>
      <c r="G187" s="1">
        <v>44922</v>
      </c>
      <c r="H187" s="1">
        <v>44540</v>
      </c>
    </row>
    <row r="188" spans="1:8" x14ac:dyDescent="0.25">
      <c r="A188" t="s">
        <v>334</v>
      </c>
      <c r="B188" t="s">
        <v>125</v>
      </c>
      <c r="C188" t="s">
        <v>348</v>
      </c>
      <c r="D188" t="s">
        <v>337</v>
      </c>
      <c r="E188" s="1">
        <v>40081</v>
      </c>
      <c r="F188" s="2">
        <v>4227500</v>
      </c>
      <c r="G188" s="1">
        <v>40081</v>
      </c>
      <c r="H188" s="1">
        <v>40077</v>
      </c>
    </row>
    <row r="189" spans="1:8" x14ac:dyDescent="0.25">
      <c r="A189" t="s">
        <v>334</v>
      </c>
      <c r="B189" t="s">
        <v>125</v>
      </c>
      <c r="C189" t="s">
        <v>348</v>
      </c>
      <c r="D189" t="s">
        <v>337</v>
      </c>
      <c r="E189" s="1">
        <v>40361</v>
      </c>
      <c r="F189" s="2">
        <v>1557500</v>
      </c>
      <c r="G189" s="1">
        <v>40361</v>
      </c>
      <c r="H189" s="1">
        <v>40077</v>
      </c>
    </row>
    <row r="190" spans="1:8" x14ac:dyDescent="0.25">
      <c r="A190" t="s">
        <v>334</v>
      </c>
      <c r="B190" t="s">
        <v>125</v>
      </c>
      <c r="C190" t="s">
        <v>348</v>
      </c>
      <c r="D190" t="s">
        <v>337</v>
      </c>
      <c r="E190" s="1">
        <v>40575</v>
      </c>
      <c r="F190" s="2">
        <v>1557500</v>
      </c>
      <c r="G190" s="1">
        <v>40575</v>
      </c>
      <c r="H190" s="1">
        <v>40077</v>
      </c>
    </row>
    <row r="191" spans="1:8" x14ac:dyDescent="0.25">
      <c r="A191" t="s">
        <v>334</v>
      </c>
      <c r="B191" t="s">
        <v>125</v>
      </c>
      <c r="C191" t="s">
        <v>348</v>
      </c>
      <c r="D191" t="s">
        <v>337</v>
      </c>
      <c r="E191" s="1">
        <v>41085</v>
      </c>
      <c r="F191" s="2">
        <v>1557500</v>
      </c>
      <c r="G191" s="1">
        <v>41085</v>
      </c>
      <c r="H191" s="1">
        <v>40077</v>
      </c>
    </row>
    <row r="192" spans="1:8" x14ac:dyDescent="0.25">
      <c r="A192" t="s">
        <v>334</v>
      </c>
      <c r="B192" t="s">
        <v>125</v>
      </c>
      <c r="C192" t="s">
        <v>348</v>
      </c>
      <c r="D192" t="s">
        <v>337</v>
      </c>
      <c r="E192" s="1">
        <v>41270</v>
      </c>
      <c r="F192" s="2">
        <v>1557500</v>
      </c>
      <c r="G192" s="1">
        <v>41270</v>
      </c>
      <c r="H192" s="1">
        <v>40077</v>
      </c>
    </row>
    <row r="193" spans="1:8" x14ac:dyDescent="0.25">
      <c r="A193" t="s">
        <v>334</v>
      </c>
      <c r="B193" t="s">
        <v>125</v>
      </c>
      <c r="C193" t="s">
        <v>348</v>
      </c>
      <c r="D193" t="s">
        <v>337</v>
      </c>
      <c r="E193" s="1">
        <v>41442</v>
      </c>
      <c r="F193" s="2">
        <v>1557500</v>
      </c>
      <c r="G193" s="1">
        <v>41442</v>
      </c>
      <c r="H193" s="1">
        <v>40077</v>
      </c>
    </row>
    <row r="194" spans="1:8" x14ac:dyDescent="0.25">
      <c r="A194" t="s">
        <v>334</v>
      </c>
      <c r="B194" t="s">
        <v>125</v>
      </c>
      <c r="C194" t="s">
        <v>348</v>
      </c>
      <c r="D194" t="s">
        <v>337</v>
      </c>
      <c r="E194" s="1">
        <v>41631</v>
      </c>
      <c r="F194" s="2">
        <v>1557500</v>
      </c>
      <c r="G194" s="1">
        <v>41631</v>
      </c>
      <c r="H194" s="1">
        <v>40077</v>
      </c>
    </row>
    <row r="195" spans="1:8" x14ac:dyDescent="0.25">
      <c r="A195" t="s">
        <v>334</v>
      </c>
      <c r="B195" t="s">
        <v>125</v>
      </c>
      <c r="C195" t="s">
        <v>348</v>
      </c>
      <c r="D195" t="s">
        <v>337</v>
      </c>
      <c r="E195" s="1">
        <v>45082</v>
      </c>
      <c r="F195" s="2">
        <v>3560000</v>
      </c>
      <c r="G195" s="1">
        <v>45082</v>
      </c>
      <c r="H195" s="1">
        <v>45078</v>
      </c>
    </row>
    <row r="196" spans="1:8" x14ac:dyDescent="0.25">
      <c r="A196" t="s">
        <v>334</v>
      </c>
      <c r="B196" t="s">
        <v>125</v>
      </c>
      <c r="C196" t="s">
        <v>348</v>
      </c>
      <c r="D196" t="s">
        <v>337</v>
      </c>
      <c r="E196" s="1">
        <v>45279</v>
      </c>
      <c r="F196" s="2">
        <v>3560000</v>
      </c>
      <c r="G196" s="1">
        <v>45279</v>
      </c>
      <c r="H196" s="1">
        <v>45078</v>
      </c>
    </row>
    <row r="197" spans="1:8" x14ac:dyDescent="0.25">
      <c r="A197" t="s">
        <v>334</v>
      </c>
      <c r="B197" t="s">
        <v>125</v>
      </c>
      <c r="C197" t="s">
        <v>348</v>
      </c>
      <c r="D197" t="s">
        <v>337</v>
      </c>
      <c r="E197" s="1">
        <v>45468</v>
      </c>
      <c r="F197" s="2">
        <v>3560000</v>
      </c>
      <c r="G197" s="1">
        <v>45468</v>
      </c>
      <c r="H197" s="1">
        <v>45078</v>
      </c>
    </row>
    <row r="198" spans="1:8" x14ac:dyDescent="0.25">
      <c r="A198" t="s">
        <v>334</v>
      </c>
      <c r="B198" t="s">
        <v>125</v>
      </c>
      <c r="C198" t="s">
        <v>348</v>
      </c>
      <c r="D198" t="s">
        <v>337</v>
      </c>
      <c r="E198" s="1">
        <v>45643</v>
      </c>
      <c r="F198" s="2">
        <v>3560000</v>
      </c>
      <c r="G198" s="1">
        <v>45643</v>
      </c>
      <c r="H198" s="1">
        <v>45078</v>
      </c>
    </row>
    <row r="199" spans="1:8" x14ac:dyDescent="0.25">
      <c r="A199" t="s">
        <v>334</v>
      </c>
      <c r="B199" t="s">
        <v>131</v>
      </c>
      <c r="C199" t="s">
        <v>349</v>
      </c>
      <c r="D199" t="s">
        <v>337</v>
      </c>
      <c r="E199" s="1">
        <v>38608</v>
      </c>
      <c r="F199" s="2">
        <v>26700000</v>
      </c>
      <c r="G199" s="1">
        <v>38608</v>
      </c>
      <c r="H199" s="1">
        <v>37419</v>
      </c>
    </row>
    <row r="200" spans="1:8" x14ac:dyDescent="0.25">
      <c r="A200" t="s">
        <v>334</v>
      </c>
      <c r="B200" t="s">
        <v>131</v>
      </c>
      <c r="C200" t="s">
        <v>349</v>
      </c>
      <c r="D200" t="s">
        <v>337</v>
      </c>
      <c r="E200" s="1">
        <v>40177</v>
      </c>
      <c r="F200" s="2">
        <v>49493000</v>
      </c>
      <c r="G200" s="1">
        <v>40177</v>
      </c>
      <c r="H200" s="1">
        <v>40158</v>
      </c>
    </row>
    <row r="201" spans="1:8" x14ac:dyDescent="0.25">
      <c r="A201" t="s">
        <v>334</v>
      </c>
      <c r="B201" t="s">
        <v>131</v>
      </c>
      <c r="C201" t="s">
        <v>349</v>
      </c>
      <c r="D201" t="s">
        <v>337</v>
      </c>
      <c r="E201" s="1">
        <v>40374</v>
      </c>
      <c r="F201" s="2">
        <v>49493000</v>
      </c>
      <c r="G201" s="1">
        <v>40374</v>
      </c>
      <c r="H201" s="1">
        <v>40158</v>
      </c>
    </row>
    <row r="202" spans="1:8" x14ac:dyDescent="0.25">
      <c r="A202" t="s">
        <v>334</v>
      </c>
      <c r="B202" t="s">
        <v>131</v>
      </c>
      <c r="C202" t="s">
        <v>349</v>
      </c>
      <c r="D202" t="s">
        <v>337</v>
      </c>
      <c r="E202" s="1">
        <v>40598</v>
      </c>
      <c r="F202" s="2">
        <v>49493000</v>
      </c>
      <c r="G202" s="1">
        <v>40598</v>
      </c>
      <c r="H202" s="1">
        <v>40158</v>
      </c>
    </row>
    <row r="203" spans="1:8" x14ac:dyDescent="0.25">
      <c r="A203" t="s">
        <v>334</v>
      </c>
      <c r="B203" t="s">
        <v>131</v>
      </c>
      <c r="C203" t="s">
        <v>349</v>
      </c>
      <c r="D203" t="s">
        <v>337</v>
      </c>
      <c r="E203" s="1">
        <v>40673</v>
      </c>
      <c r="F203" s="2">
        <v>49493000</v>
      </c>
      <c r="G203" s="1">
        <v>40673</v>
      </c>
      <c r="H203" s="1">
        <v>40158</v>
      </c>
    </row>
    <row r="204" spans="1:8" x14ac:dyDescent="0.25">
      <c r="A204" t="s">
        <v>334</v>
      </c>
      <c r="B204" t="s">
        <v>131</v>
      </c>
      <c r="C204" t="s">
        <v>349</v>
      </c>
      <c r="D204" t="s">
        <v>337</v>
      </c>
      <c r="E204" s="1">
        <v>44396</v>
      </c>
      <c r="F204" s="2">
        <v>152300000</v>
      </c>
      <c r="G204" s="1">
        <v>44396</v>
      </c>
      <c r="H204" s="1">
        <v>44392</v>
      </c>
    </row>
    <row r="205" spans="1:8" x14ac:dyDescent="0.25">
      <c r="A205" t="s">
        <v>334</v>
      </c>
      <c r="B205" t="s">
        <v>131</v>
      </c>
      <c r="C205" t="s">
        <v>349</v>
      </c>
      <c r="D205" t="s">
        <v>337</v>
      </c>
      <c r="E205" s="1">
        <v>44547</v>
      </c>
      <c r="F205" s="2">
        <v>152300000</v>
      </c>
      <c r="G205" s="1">
        <v>44547</v>
      </c>
      <c r="H205" s="1">
        <v>44392</v>
      </c>
    </row>
    <row r="206" spans="1:8" x14ac:dyDescent="0.25">
      <c r="A206" t="s">
        <v>334</v>
      </c>
      <c r="B206" t="s">
        <v>131</v>
      </c>
      <c r="C206" t="s">
        <v>349</v>
      </c>
      <c r="D206" t="s">
        <v>337</v>
      </c>
      <c r="E206" s="1">
        <v>44743</v>
      </c>
      <c r="F206" s="2">
        <v>152300000</v>
      </c>
      <c r="G206" s="1">
        <v>44743</v>
      </c>
      <c r="H206" s="1">
        <v>44392</v>
      </c>
    </row>
    <row r="207" spans="1:8" x14ac:dyDescent="0.25">
      <c r="A207" t="s">
        <v>334</v>
      </c>
      <c r="B207" t="s">
        <v>131</v>
      </c>
      <c r="C207" t="s">
        <v>349</v>
      </c>
      <c r="D207" t="s">
        <v>337</v>
      </c>
      <c r="E207" s="1">
        <v>44917</v>
      </c>
      <c r="F207" s="2">
        <v>152300000</v>
      </c>
      <c r="G207" s="1">
        <v>44917</v>
      </c>
      <c r="H207" s="1">
        <v>44392</v>
      </c>
    </row>
    <row r="208" spans="1:8" x14ac:dyDescent="0.25">
      <c r="A208" t="s">
        <v>334</v>
      </c>
      <c r="B208" t="s">
        <v>131</v>
      </c>
      <c r="C208" t="s">
        <v>349</v>
      </c>
      <c r="D208" t="s">
        <v>337</v>
      </c>
      <c r="E208" s="1">
        <v>45107</v>
      </c>
      <c r="F208" s="2">
        <v>152300000</v>
      </c>
      <c r="G208" s="1">
        <v>45107</v>
      </c>
      <c r="H208" s="1">
        <v>44392</v>
      </c>
    </row>
    <row r="209" spans="1:8" x14ac:dyDescent="0.25">
      <c r="A209" t="s">
        <v>334</v>
      </c>
      <c r="B209" t="s">
        <v>131</v>
      </c>
      <c r="C209" t="s">
        <v>349</v>
      </c>
      <c r="D209" t="s">
        <v>337</v>
      </c>
      <c r="E209" s="1">
        <v>45278</v>
      </c>
      <c r="F209" s="2">
        <v>152300000</v>
      </c>
      <c r="G209" s="1">
        <v>45278</v>
      </c>
      <c r="H209" s="1">
        <v>44392</v>
      </c>
    </row>
    <row r="210" spans="1:8" x14ac:dyDescent="0.25">
      <c r="A210" t="s">
        <v>334</v>
      </c>
      <c r="B210" t="s">
        <v>131</v>
      </c>
      <c r="C210" t="s">
        <v>349</v>
      </c>
      <c r="D210" t="s">
        <v>337</v>
      </c>
      <c r="E210" s="1">
        <v>45482</v>
      </c>
      <c r="F210" s="2">
        <v>152200000</v>
      </c>
      <c r="G210" s="1">
        <v>45482</v>
      </c>
      <c r="H210" s="1">
        <v>44392</v>
      </c>
    </row>
    <row r="211" spans="1:8" x14ac:dyDescent="0.25">
      <c r="A211" t="s">
        <v>334</v>
      </c>
      <c r="B211" t="s">
        <v>350</v>
      </c>
      <c r="C211" t="s">
        <v>351</v>
      </c>
      <c r="D211" t="s">
        <v>337</v>
      </c>
      <c r="E211" s="1">
        <v>38576</v>
      </c>
      <c r="F211" s="2">
        <v>7860000</v>
      </c>
      <c r="G211" s="1">
        <v>38576</v>
      </c>
      <c r="H211" s="1">
        <v>38327</v>
      </c>
    </row>
    <row r="212" spans="1:8" x14ac:dyDescent="0.25">
      <c r="A212" t="s">
        <v>334</v>
      </c>
      <c r="B212" t="s">
        <v>350</v>
      </c>
      <c r="C212" t="s">
        <v>351</v>
      </c>
      <c r="D212" t="s">
        <v>337</v>
      </c>
      <c r="E212" s="1">
        <v>38930</v>
      </c>
      <c r="F212" s="2">
        <v>7860000</v>
      </c>
      <c r="G212" s="1">
        <v>38930</v>
      </c>
      <c r="H212" s="1">
        <v>38327</v>
      </c>
    </row>
    <row r="213" spans="1:8" x14ac:dyDescent="0.25">
      <c r="A213" t="s">
        <v>334</v>
      </c>
      <c r="B213" t="s">
        <v>350</v>
      </c>
      <c r="C213" t="s">
        <v>351</v>
      </c>
      <c r="D213" t="s">
        <v>337</v>
      </c>
      <c r="E213" s="1">
        <v>39804</v>
      </c>
      <c r="F213" s="2">
        <v>1208570</v>
      </c>
      <c r="G213" s="1">
        <v>39804</v>
      </c>
      <c r="H213" s="1">
        <v>39790</v>
      </c>
    </row>
    <row r="214" spans="1:8" x14ac:dyDescent="0.25">
      <c r="A214" t="s">
        <v>334</v>
      </c>
      <c r="B214" t="s">
        <v>350</v>
      </c>
      <c r="C214" t="s">
        <v>351</v>
      </c>
      <c r="D214" t="s">
        <v>337</v>
      </c>
      <c r="E214" s="1">
        <v>39988</v>
      </c>
      <c r="F214" s="2">
        <v>1208570</v>
      </c>
      <c r="G214" s="1">
        <v>39988</v>
      </c>
      <c r="H214" s="1">
        <v>39790</v>
      </c>
    </row>
    <row r="215" spans="1:8" x14ac:dyDescent="0.25">
      <c r="A215" t="s">
        <v>334</v>
      </c>
      <c r="B215" t="s">
        <v>350</v>
      </c>
      <c r="C215" t="s">
        <v>351</v>
      </c>
      <c r="D215" t="s">
        <v>337</v>
      </c>
      <c r="E215" s="1">
        <v>40151</v>
      </c>
      <c r="F215" s="2">
        <v>1208570</v>
      </c>
      <c r="G215" s="1">
        <v>40151</v>
      </c>
      <c r="H215" s="1">
        <v>39790</v>
      </c>
    </row>
    <row r="216" spans="1:8" x14ac:dyDescent="0.25">
      <c r="A216" t="s">
        <v>334</v>
      </c>
      <c r="B216" t="s">
        <v>350</v>
      </c>
      <c r="C216" t="s">
        <v>351</v>
      </c>
      <c r="D216" t="s">
        <v>337</v>
      </c>
      <c r="E216" s="1">
        <v>40428</v>
      </c>
      <c r="F216" s="2">
        <v>1208570</v>
      </c>
      <c r="G216" s="1">
        <v>40428</v>
      </c>
      <c r="H216" s="1">
        <v>39790</v>
      </c>
    </row>
    <row r="217" spans="1:8" x14ac:dyDescent="0.25">
      <c r="A217" t="s">
        <v>334</v>
      </c>
      <c r="B217" t="s">
        <v>350</v>
      </c>
      <c r="C217" t="s">
        <v>351</v>
      </c>
      <c r="D217" t="s">
        <v>337</v>
      </c>
      <c r="E217" s="1">
        <v>40570</v>
      </c>
      <c r="F217" s="2">
        <v>1208570</v>
      </c>
      <c r="G217" s="1">
        <v>40570</v>
      </c>
      <c r="H217" s="1">
        <v>39790</v>
      </c>
    </row>
    <row r="218" spans="1:8" x14ac:dyDescent="0.25">
      <c r="A218" t="s">
        <v>334</v>
      </c>
      <c r="B218" t="s">
        <v>350</v>
      </c>
      <c r="C218" t="s">
        <v>351</v>
      </c>
      <c r="D218" t="s">
        <v>337</v>
      </c>
      <c r="E218" s="1">
        <v>40759</v>
      </c>
      <c r="F218" s="2">
        <v>2417150</v>
      </c>
      <c r="G218" s="1">
        <v>40759</v>
      </c>
      <c r="H218" s="1">
        <v>39790</v>
      </c>
    </row>
    <row r="219" spans="1:8" x14ac:dyDescent="0.25">
      <c r="A219" t="s">
        <v>334</v>
      </c>
      <c r="B219" t="s">
        <v>350</v>
      </c>
      <c r="C219" t="s">
        <v>351</v>
      </c>
      <c r="D219" t="s">
        <v>337</v>
      </c>
      <c r="E219" s="1">
        <v>43668</v>
      </c>
      <c r="F219" s="2">
        <v>32400000</v>
      </c>
      <c r="G219" s="1">
        <v>43668</v>
      </c>
      <c r="H219" s="1">
        <v>43657</v>
      </c>
    </row>
    <row r="220" spans="1:8" x14ac:dyDescent="0.25">
      <c r="A220" t="s">
        <v>334</v>
      </c>
      <c r="B220" t="s">
        <v>350</v>
      </c>
      <c r="C220" t="s">
        <v>351</v>
      </c>
      <c r="D220" t="s">
        <v>337</v>
      </c>
      <c r="E220" s="1">
        <v>44586</v>
      </c>
      <c r="F220" s="2">
        <v>64800000</v>
      </c>
      <c r="G220" s="1">
        <v>44586</v>
      </c>
      <c r="H220" s="1">
        <v>44582</v>
      </c>
    </row>
    <row r="221" spans="1:8" x14ac:dyDescent="0.25">
      <c r="A221" t="s">
        <v>334</v>
      </c>
      <c r="B221" t="s">
        <v>350</v>
      </c>
      <c r="C221" t="s">
        <v>351</v>
      </c>
      <c r="D221" t="s">
        <v>337</v>
      </c>
      <c r="E221" s="1">
        <v>44740</v>
      </c>
      <c r="F221" s="2">
        <v>64800000</v>
      </c>
      <c r="G221" s="1">
        <v>44740</v>
      </c>
      <c r="H221" s="1">
        <v>44582</v>
      </c>
    </row>
    <row r="222" spans="1:8" x14ac:dyDescent="0.25">
      <c r="A222" t="s">
        <v>334</v>
      </c>
      <c r="B222" t="s">
        <v>350</v>
      </c>
      <c r="C222" t="s">
        <v>351</v>
      </c>
      <c r="D222" t="s">
        <v>337</v>
      </c>
      <c r="E222" s="1">
        <v>44965</v>
      </c>
      <c r="F222" s="2">
        <v>64800000</v>
      </c>
      <c r="G222" s="1">
        <v>44965</v>
      </c>
      <c r="H222" s="1">
        <v>44582</v>
      </c>
    </row>
    <row r="223" spans="1:8" x14ac:dyDescent="0.25">
      <c r="A223" t="s">
        <v>334</v>
      </c>
      <c r="B223" t="s">
        <v>350</v>
      </c>
      <c r="C223" t="s">
        <v>351</v>
      </c>
      <c r="D223" t="s">
        <v>337</v>
      </c>
      <c r="E223" s="1">
        <v>45128</v>
      </c>
      <c r="F223" s="2">
        <v>32400000</v>
      </c>
      <c r="G223" s="1">
        <v>45128</v>
      </c>
      <c r="H223" s="1">
        <v>44582</v>
      </c>
    </row>
    <row r="224" spans="1:8" x14ac:dyDescent="0.25">
      <c r="A224" t="s">
        <v>334</v>
      </c>
      <c r="B224" t="s">
        <v>350</v>
      </c>
      <c r="C224" t="s">
        <v>351</v>
      </c>
      <c r="D224" t="s">
        <v>337</v>
      </c>
      <c r="E224" s="1">
        <v>45282</v>
      </c>
      <c r="F224" s="2">
        <v>32400000</v>
      </c>
      <c r="G224" s="1">
        <v>45282</v>
      </c>
      <c r="H224" s="1">
        <v>44582</v>
      </c>
    </row>
    <row r="225" spans="1:8" x14ac:dyDescent="0.25">
      <c r="A225" t="s">
        <v>334</v>
      </c>
      <c r="B225" t="s">
        <v>350</v>
      </c>
      <c r="C225" t="s">
        <v>351</v>
      </c>
      <c r="D225" t="s">
        <v>337</v>
      </c>
      <c r="E225" s="1">
        <v>45485</v>
      </c>
      <c r="F225" s="2">
        <v>32400000</v>
      </c>
      <c r="G225" s="1">
        <v>45485</v>
      </c>
      <c r="H225" s="1">
        <v>44582</v>
      </c>
    </row>
    <row r="226" spans="1:8" x14ac:dyDescent="0.25">
      <c r="A226" t="s">
        <v>334</v>
      </c>
      <c r="B226" t="s">
        <v>134</v>
      </c>
      <c r="C226" t="s">
        <v>352</v>
      </c>
      <c r="D226" t="s">
        <v>337</v>
      </c>
      <c r="E226" s="1">
        <v>39912</v>
      </c>
      <c r="F226" s="2">
        <v>159348000</v>
      </c>
      <c r="G226" s="1">
        <v>39912</v>
      </c>
      <c r="H226" s="1">
        <v>39899</v>
      </c>
    </row>
    <row r="227" spans="1:8" x14ac:dyDescent="0.25">
      <c r="A227" t="s">
        <v>334</v>
      </c>
      <c r="B227" t="s">
        <v>134</v>
      </c>
      <c r="C227" t="s">
        <v>352</v>
      </c>
      <c r="D227" t="s">
        <v>337</v>
      </c>
      <c r="E227" s="1">
        <v>40150</v>
      </c>
      <c r="F227" s="2">
        <v>35772000</v>
      </c>
      <c r="G227" s="1">
        <v>40150</v>
      </c>
      <c r="H227" s="1">
        <v>39899</v>
      </c>
    </row>
    <row r="228" spans="1:8" x14ac:dyDescent="0.25">
      <c r="A228" t="s">
        <v>334</v>
      </c>
      <c r="B228" t="s">
        <v>134</v>
      </c>
      <c r="C228" t="s">
        <v>352</v>
      </c>
      <c r="D228" t="s">
        <v>337</v>
      </c>
      <c r="E228" s="1">
        <v>40385</v>
      </c>
      <c r="F228" s="2">
        <v>35772000</v>
      </c>
      <c r="G228" s="1">
        <v>40385</v>
      </c>
      <c r="H228" s="1">
        <v>39899</v>
      </c>
    </row>
    <row r="229" spans="1:8" x14ac:dyDescent="0.25">
      <c r="A229" t="s">
        <v>334</v>
      </c>
      <c r="B229" t="s">
        <v>134</v>
      </c>
      <c r="C229" t="s">
        <v>352</v>
      </c>
      <c r="D229" t="s">
        <v>337</v>
      </c>
      <c r="E229" s="1">
        <v>40862</v>
      </c>
      <c r="F229" s="2">
        <v>81300000</v>
      </c>
      <c r="G229" s="1">
        <v>40862</v>
      </c>
      <c r="H229" s="1">
        <v>40851</v>
      </c>
    </row>
    <row r="230" spans="1:8" x14ac:dyDescent="0.25">
      <c r="A230" t="s">
        <v>334</v>
      </c>
      <c r="B230" t="s">
        <v>134</v>
      </c>
      <c r="C230" t="s">
        <v>352</v>
      </c>
      <c r="D230" t="s">
        <v>337</v>
      </c>
      <c r="E230" s="1">
        <v>41045</v>
      </c>
      <c r="F230" s="2">
        <v>65040000</v>
      </c>
      <c r="G230" s="1">
        <v>41045</v>
      </c>
      <c r="H230" s="1">
        <v>40851</v>
      </c>
    </row>
    <row r="231" spans="1:8" x14ac:dyDescent="0.25">
      <c r="A231" t="s">
        <v>334</v>
      </c>
      <c r="B231" t="s">
        <v>134</v>
      </c>
      <c r="C231" t="s">
        <v>352</v>
      </c>
      <c r="D231" t="s">
        <v>337</v>
      </c>
      <c r="E231" s="1">
        <v>41254</v>
      </c>
      <c r="F231" s="2">
        <v>65040000</v>
      </c>
      <c r="G231" s="1">
        <v>41254</v>
      </c>
      <c r="H231" s="1">
        <v>40851</v>
      </c>
    </row>
    <row r="232" spans="1:8" x14ac:dyDescent="0.25">
      <c r="A232" t="s">
        <v>334</v>
      </c>
      <c r="B232" t="s">
        <v>134</v>
      </c>
      <c r="C232" t="s">
        <v>352</v>
      </c>
      <c r="D232" t="s">
        <v>337</v>
      </c>
      <c r="E232" s="1">
        <v>41442</v>
      </c>
      <c r="F232" s="2">
        <v>48780000</v>
      </c>
      <c r="G232" s="1">
        <v>41442</v>
      </c>
      <c r="H232" s="1">
        <v>40851</v>
      </c>
    </row>
    <row r="233" spans="1:8" x14ac:dyDescent="0.25">
      <c r="A233" t="s">
        <v>334</v>
      </c>
      <c r="B233" t="s">
        <v>134</v>
      </c>
      <c r="C233" t="s">
        <v>352</v>
      </c>
      <c r="D233" t="s">
        <v>337</v>
      </c>
      <c r="E233" s="1">
        <v>41624</v>
      </c>
      <c r="F233" s="2">
        <v>48780000</v>
      </c>
      <c r="G233" s="1">
        <v>41624</v>
      </c>
      <c r="H233" s="1">
        <v>40851</v>
      </c>
    </row>
    <row r="234" spans="1:8" x14ac:dyDescent="0.25">
      <c r="A234" t="s">
        <v>334</v>
      </c>
      <c r="B234" t="s">
        <v>134</v>
      </c>
      <c r="C234" t="s">
        <v>352</v>
      </c>
      <c r="D234" t="s">
        <v>337</v>
      </c>
      <c r="E234" s="1">
        <v>41806</v>
      </c>
      <c r="F234" s="2">
        <v>48780000</v>
      </c>
      <c r="G234" s="1">
        <v>41806</v>
      </c>
      <c r="H234" s="1">
        <v>40851</v>
      </c>
    </row>
    <row r="235" spans="1:8" x14ac:dyDescent="0.25">
      <c r="A235" t="s">
        <v>334</v>
      </c>
      <c r="B235" t="s">
        <v>134</v>
      </c>
      <c r="C235" t="s">
        <v>352</v>
      </c>
      <c r="D235" t="s">
        <v>337</v>
      </c>
      <c r="E235" s="1">
        <v>41988</v>
      </c>
      <c r="F235" s="2">
        <v>65040000</v>
      </c>
      <c r="G235" s="1">
        <v>41988</v>
      </c>
      <c r="H235" s="1">
        <v>40851</v>
      </c>
    </row>
    <row r="236" spans="1:8" x14ac:dyDescent="0.25">
      <c r="A236" t="s">
        <v>334</v>
      </c>
      <c r="B236" t="s">
        <v>134</v>
      </c>
      <c r="C236" t="s">
        <v>352</v>
      </c>
      <c r="D236" t="s">
        <v>337</v>
      </c>
      <c r="E236" s="1">
        <v>42170</v>
      </c>
      <c r="F236" s="2">
        <v>48780000</v>
      </c>
      <c r="G236" s="1">
        <v>42170</v>
      </c>
      <c r="H236" s="1">
        <v>40851</v>
      </c>
    </row>
    <row r="237" spans="1:8" x14ac:dyDescent="0.25">
      <c r="A237" t="s">
        <v>334</v>
      </c>
      <c r="B237" t="s">
        <v>134</v>
      </c>
      <c r="C237" t="s">
        <v>352</v>
      </c>
      <c r="D237" t="s">
        <v>337</v>
      </c>
      <c r="E237" s="1">
        <v>42355</v>
      </c>
      <c r="F237" s="2">
        <v>48780000</v>
      </c>
      <c r="G237" s="1">
        <v>42355</v>
      </c>
      <c r="H237" s="1">
        <v>40851</v>
      </c>
    </row>
    <row r="238" spans="1:8" x14ac:dyDescent="0.25">
      <c r="A238" t="s">
        <v>339</v>
      </c>
      <c r="B238" t="s">
        <v>134</v>
      </c>
      <c r="C238" t="s">
        <v>352</v>
      </c>
      <c r="D238" t="s">
        <v>340</v>
      </c>
      <c r="E238" s="1">
        <v>42718</v>
      </c>
      <c r="F238" s="2">
        <v>46457000</v>
      </c>
      <c r="G238" s="1">
        <v>42718</v>
      </c>
      <c r="H238" s="1">
        <v>42716</v>
      </c>
    </row>
    <row r="239" spans="1:8" x14ac:dyDescent="0.25">
      <c r="A239" t="s">
        <v>334</v>
      </c>
      <c r="B239" t="s">
        <v>134</v>
      </c>
      <c r="C239" t="s">
        <v>352</v>
      </c>
      <c r="D239" t="s">
        <v>337</v>
      </c>
      <c r="E239" s="1">
        <v>42724</v>
      </c>
      <c r="F239" s="2">
        <v>23229000</v>
      </c>
      <c r="G239" s="1">
        <v>42724</v>
      </c>
      <c r="H239" s="1">
        <v>42716</v>
      </c>
    </row>
    <row r="240" spans="1:8" x14ac:dyDescent="0.25">
      <c r="A240" t="s">
        <v>339</v>
      </c>
      <c r="B240" t="s">
        <v>134</v>
      </c>
      <c r="C240" t="s">
        <v>352</v>
      </c>
      <c r="D240" t="s">
        <v>340</v>
      </c>
      <c r="E240" s="1">
        <v>42907</v>
      </c>
      <c r="F240" s="2">
        <v>64524000</v>
      </c>
      <c r="G240" s="1">
        <v>42907</v>
      </c>
      <c r="H240" s="1">
        <v>42716</v>
      </c>
    </row>
    <row r="241" spans="1:8" x14ac:dyDescent="0.25">
      <c r="A241" t="s">
        <v>334</v>
      </c>
      <c r="B241" t="s">
        <v>134</v>
      </c>
      <c r="C241" t="s">
        <v>352</v>
      </c>
      <c r="D241" t="s">
        <v>337</v>
      </c>
      <c r="E241" s="1">
        <v>42913</v>
      </c>
      <c r="F241" s="2">
        <v>32262000</v>
      </c>
      <c r="G241" s="1">
        <v>42913</v>
      </c>
      <c r="H241" s="1">
        <v>42716</v>
      </c>
    </row>
    <row r="242" spans="1:8" x14ac:dyDescent="0.25">
      <c r="A242" t="s">
        <v>339</v>
      </c>
      <c r="B242" t="s">
        <v>134</v>
      </c>
      <c r="C242" t="s">
        <v>352</v>
      </c>
      <c r="D242" t="s">
        <v>340</v>
      </c>
      <c r="E242" s="1">
        <v>43081</v>
      </c>
      <c r="F242" s="2">
        <v>64524000</v>
      </c>
      <c r="G242" s="1">
        <v>43081</v>
      </c>
      <c r="H242" s="1">
        <v>42716</v>
      </c>
    </row>
    <row r="243" spans="1:8" x14ac:dyDescent="0.25">
      <c r="A243" t="s">
        <v>334</v>
      </c>
      <c r="B243" t="s">
        <v>134</v>
      </c>
      <c r="C243" t="s">
        <v>352</v>
      </c>
      <c r="D243" t="s">
        <v>337</v>
      </c>
      <c r="E243" s="1">
        <v>43087</v>
      </c>
      <c r="F243" s="2">
        <v>32262000</v>
      </c>
      <c r="G243" s="1">
        <v>43087</v>
      </c>
      <c r="H243" s="1">
        <v>42716</v>
      </c>
    </row>
    <row r="244" spans="1:8" x14ac:dyDescent="0.25">
      <c r="A244" t="s">
        <v>339</v>
      </c>
      <c r="B244" t="s">
        <v>134</v>
      </c>
      <c r="C244" t="s">
        <v>352</v>
      </c>
      <c r="D244" t="s">
        <v>340</v>
      </c>
      <c r="E244" s="1">
        <v>43271</v>
      </c>
      <c r="F244" s="2">
        <v>64524000</v>
      </c>
      <c r="G244" s="1">
        <v>43271</v>
      </c>
      <c r="H244" s="1">
        <v>42716</v>
      </c>
    </row>
    <row r="245" spans="1:8" x14ac:dyDescent="0.25">
      <c r="A245" t="s">
        <v>334</v>
      </c>
      <c r="B245" t="s">
        <v>134</v>
      </c>
      <c r="C245" t="s">
        <v>352</v>
      </c>
      <c r="D245" t="s">
        <v>337</v>
      </c>
      <c r="E245" s="1">
        <v>43277</v>
      </c>
      <c r="F245" s="2">
        <v>32262000</v>
      </c>
      <c r="G245" s="1">
        <v>43277</v>
      </c>
      <c r="H245" s="1">
        <v>42716</v>
      </c>
    </row>
    <row r="246" spans="1:8" x14ac:dyDescent="0.25">
      <c r="A246" t="s">
        <v>339</v>
      </c>
      <c r="B246" t="s">
        <v>134</v>
      </c>
      <c r="C246" t="s">
        <v>352</v>
      </c>
      <c r="D246" t="s">
        <v>340</v>
      </c>
      <c r="E246" s="1">
        <v>43448</v>
      </c>
      <c r="F246" s="2">
        <v>64524000</v>
      </c>
      <c r="G246" s="1">
        <v>43448</v>
      </c>
      <c r="H246" s="1">
        <v>42716</v>
      </c>
    </row>
    <row r="247" spans="1:8" x14ac:dyDescent="0.25">
      <c r="A247" t="s">
        <v>334</v>
      </c>
      <c r="B247" t="s">
        <v>134</v>
      </c>
      <c r="C247" t="s">
        <v>352</v>
      </c>
      <c r="D247" t="s">
        <v>337</v>
      </c>
      <c r="E247" s="1">
        <v>43454</v>
      </c>
      <c r="F247" s="2">
        <v>32262000</v>
      </c>
      <c r="G247" s="1">
        <v>43454</v>
      </c>
      <c r="H247" s="1">
        <v>42716</v>
      </c>
    </row>
    <row r="248" spans="1:8" x14ac:dyDescent="0.25">
      <c r="A248" t="s">
        <v>339</v>
      </c>
      <c r="B248" t="s">
        <v>134</v>
      </c>
      <c r="C248" t="s">
        <v>352</v>
      </c>
      <c r="D248" t="s">
        <v>340</v>
      </c>
      <c r="E248" s="1">
        <v>43634</v>
      </c>
      <c r="F248" s="2">
        <v>64524000</v>
      </c>
      <c r="G248" s="1">
        <v>43634</v>
      </c>
      <c r="H248" s="1">
        <v>42716</v>
      </c>
    </row>
    <row r="249" spans="1:8" x14ac:dyDescent="0.25">
      <c r="A249" t="s">
        <v>334</v>
      </c>
      <c r="B249" t="s">
        <v>134</v>
      </c>
      <c r="C249" t="s">
        <v>352</v>
      </c>
      <c r="D249" t="s">
        <v>337</v>
      </c>
      <c r="E249" s="1">
        <v>43640</v>
      </c>
      <c r="F249" s="2">
        <v>32262000</v>
      </c>
      <c r="G249" s="1">
        <v>43640</v>
      </c>
      <c r="H249" s="1">
        <v>42716</v>
      </c>
    </row>
    <row r="250" spans="1:8" x14ac:dyDescent="0.25">
      <c r="A250" t="s">
        <v>339</v>
      </c>
      <c r="B250" t="s">
        <v>134</v>
      </c>
      <c r="C250" t="s">
        <v>352</v>
      </c>
      <c r="D250" t="s">
        <v>340</v>
      </c>
      <c r="E250" s="1">
        <v>43809</v>
      </c>
      <c r="F250" s="2">
        <v>64523000</v>
      </c>
      <c r="G250" s="1">
        <v>43809</v>
      </c>
      <c r="H250" s="1">
        <v>42716</v>
      </c>
    </row>
    <row r="251" spans="1:8" x14ac:dyDescent="0.25">
      <c r="A251" t="s">
        <v>334</v>
      </c>
      <c r="B251" t="s">
        <v>134</v>
      </c>
      <c r="C251" t="s">
        <v>352</v>
      </c>
      <c r="D251" t="s">
        <v>337</v>
      </c>
      <c r="E251" s="1">
        <v>43815</v>
      </c>
      <c r="F251" s="2">
        <v>32261000</v>
      </c>
      <c r="G251" s="1">
        <v>43815</v>
      </c>
      <c r="H251" s="1">
        <v>42716</v>
      </c>
    </row>
    <row r="252" spans="1:8" x14ac:dyDescent="0.25">
      <c r="A252" t="s">
        <v>334</v>
      </c>
      <c r="B252" t="s">
        <v>134</v>
      </c>
      <c r="C252" t="s">
        <v>352</v>
      </c>
      <c r="D252" t="s">
        <v>337</v>
      </c>
      <c r="E252" s="1">
        <v>44176</v>
      </c>
      <c r="F252" s="2">
        <v>64524000</v>
      </c>
      <c r="G252" s="1">
        <v>44176</v>
      </c>
      <c r="H252" s="1">
        <v>42716</v>
      </c>
    </row>
    <row r="253" spans="1:8" x14ac:dyDescent="0.25">
      <c r="A253" t="s">
        <v>339</v>
      </c>
      <c r="B253" t="s">
        <v>134</v>
      </c>
      <c r="C253" t="s">
        <v>352</v>
      </c>
      <c r="D253" t="s">
        <v>340</v>
      </c>
      <c r="E253" s="1">
        <v>44176</v>
      </c>
      <c r="F253" s="2">
        <v>129048000</v>
      </c>
      <c r="G253" s="1">
        <v>44176</v>
      </c>
      <c r="H253" s="1">
        <v>42716</v>
      </c>
    </row>
    <row r="254" spans="1:8" x14ac:dyDescent="0.25">
      <c r="A254" t="s">
        <v>334</v>
      </c>
      <c r="B254" t="s">
        <v>134</v>
      </c>
      <c r="C254" t="s">
        <v>352</v>
      </c>
      <c r="D254" t="s">
        <v>337</v>
      </c>
      <c r="E254" s="1">
        <v>45072</v>
      </c>
      <c r="F254" s="2">
        <v>123886000</v>
      </c>
      <c r="G254" s="1">
        <v>45072</v>
      </c>
      <c r="H254" s="1">
        <v>45070</v>
      </c>
    </row>
    <row r="255" spans="1:8" x14ac:dyDescent="0.25">
      <c r="A255" t="s">
        <v>339</v>
      </c>
      <c r="B255" t="s">
        <v>134</v>
      </c>
      <c r="C255" t="s">
        <v>352</v>
      </c>
      <c r="D255" t="s">
        <v>340</v>
      </c>
      <c r="E255" s="1">
        <v>45072</v>
      </c>
      <c r="F255" s="2">
        <v>247771000</v>
      </c>
      <c r="G255" s="1">
        <v>45072</v>
      </c>
      <c r="H255" s="1">
        <v>45070</v>
      </c>
    </row>
    <row r="256" spans="1:8" x14ac:dyDescent="0.25">
      <c r="A256" t="s">
        <v>334</v>
      </c>
      <c r="B256" t="s">
        <v>134</v>
      </c>
      <c r="C256" t="s">
        <v>352</v>
      </c>
      <c r="D256" t="s">
        <v>337</v>
      </c>
      <c r="E256" s="1">
        <v>45266</v>
      </c>
      <c r="F256" s="2">
        <v>123886000</v>
      </c>
      <c r="G256" s="1">
        <v>45266</v>
      </c>
      <c r="H256" s="1">
        <v>45070</v>
      </c>
    </row>
    <row r="257" spans="1:8" x14ac:dyDescent="0.25">
      <c r="A257" t="s">
        <v>339</v>
      </c>
      <c r="B257" t="s">
        <v>134</v>
      </c>
      <c r="C257" t="s">
        <v>352</v>
      </c>
      <c r="D257" t="s">
        <v>340</v>
      </c>
      <c r="E257" s="1">
        <v>45266</v>
      </c>
      <c r="F257" s="2">
        <v>247771000</v>
      </c>
      <c r="G257" s="1">
        <v>45266</v>
      </c>
      <c r="H257" s="1">
        <v>45070</v>
      </c>
    </row>
    <row r="258" spans="1:8" x14ac:dyDescent="0.25">
      <c r="A258" t="s">
        <v>334</v>
      </c>
      <c r="B258" t="s">
        <v>134</v>
      </c>
      <c r="C258" t="s">
        <v>352</v>
      </c>
      <c r="D258" t="s">
        <v>337</v>
      </c>
      <c r="E258" s="1">
        <v>45470</v>
      </c>
      <c r="F258" s="2">
        <v>123886000</v>
      </c>
      <c r="G258" s="1">
        <v>45470</v>
      </c>
      <c r="H258" s="1">
        <v>45070</v>
      </c>
    </row>
    <row r="259" spans="1:8" x14ac:dyDescent="0.25">
      <c r="A259" t="s">
        <v>339</v>
      </c>
      <c r="B259" t="s">
        <v>134</v>
      </c>
      <c r="C259" t="s">
        <v>352</v>
      </c>
      <c r="D259" t="s">
        <v>340</v>
      </c>
      <c r="E259" s="1">
        <v>45470</v>
      </c>
      <c r="F259" s="2">
        <v>247771000</v>
      </c>
      <c r="G259" s="1">
        <v>45470</v>
      </c>
      <c r="H259" s="1">
        <v>45070</v>
      </c>
    </row>
    <row r="260" spans="1:8" x14ac:dyDescent="0.25">
      <c r="A260" t="s">
        <v>334</v>
      </c>
      <c r="B260" t="s">
        <v>134</v>
      </c>
      <c r="C260" t="s">
        <v>352</v>
      </c>
      <c r="D260" t="s">
        <v>337</v>
      </c>
      <c r="E260" s="1">
        <v>45639</v>
      </c>
      <c r="F260" s="2">
        <v>123886000</v>
      </c>
      <c r="G260" s="1">
        <v>45639</v>
      </c>
      <c r="H260" s="1">
        <v>45070</v>
      </c>
    </row>
    <row r="261" spans="1:8" x14ac:dyDescent="0.25">
      <c r="A261" t="s">
        <v>339</v>
      </c>
      <c r="B261" t="s">
        <v>134</v>
      </c>
      <c r="C261" t="s">
        <v>352</v>
      </c>
      <c r="D261" t="s">
        <v>340</v>
      </c>
      <c r="E261" s="1">
        <v>45639</v>
      </c>
      <c r="F261" s="2">
        <v>247771000</v>
      </c>
      <c r="G261" s="1">
        <v>45639</v>
      </c>
      <c r="H261" s="1">
        <v>45070</v>
      </c>
    </row>
    <row r="262" spans="1:8" x14ac:dyDescent="0.25">
      <c r="A262" t="s">
        <v>334</v>
      </c>
      <c r="B262" t="s">
        <v>135</v>
      </c>
      <c r="C262" t="s">
        <v>353</v>
      </c>
      <c r="D262" t="s">
        <v>337</v>
      </c>
      <c r="E262" s="1">
        <v>39715</v>
      </c>
      <c r="F262" s="2">
        <v>3864000</v>
      </c>
      <c r="G262" s="1">
        <v>39715</v>
      </c>
      <c r="H262" s="1">
        <v>39708</v>
      </c>
    </row>
    <row r="263" spans="1:8" x14ac:dyDescent="0.25">
      <c r="A263" t="s">
        <v>334</v>
      </c>
      <c r="B263" t="s">
        <v>135</v>
      </c>
      <c r="C263" t="s">
        <v>353</v>
      </c>
      <c r="D263" t="s">
        <v>337</v>
      </c>
      <c r="E263" s="1">
        <v>39988</v>
      </c>
      <c r="F263" s="2">
        <v>1476000</v>
      </c>
      <c r="G263" s="1">
        <v>39988</v>
      </c>
      <c r="H263" s="1">
        <v>39708</v>
      </c>
    </row>
    <row r="264" spans="1:8" x14ac:dyDescent="0.25">
      <c r="A264" t="s">
        <v>334</v>
      </c>
      <c r="B264" t="s">
        <v>135</v>
      </c>
      <c r="C264" t="s">
        <v>353</v>
      </c>
      <c r="D264" t="s">
        <v>337</v>
      </c>
      <c r="E264" s="1">
        <v>40561</v>
      </c>
      <c r="F264" s="2">
        <v>2952000</v>
      </c>
      <c r="G264" s="1">
        <v>40561</v>
      </c>
      <c r="H264" s="1">
        <v>39708</v>
      </c>
    </row>
    <row r="265" spans="1:8" x14ac:dyDescent="0.25">
      <c r="A265" t="s">
        <v>334</v>
      </c>
      <c r="B265" t="s">
        <v>135</v>
      </c>
      <c r="C265" t="s">
        <v>353</v>
      </c>
      <c r="D265" t="s">
        <v>337</v>
      </c>
      <c r="E265" s="1">
        <v>40739</v>
      </c>
      <c r="F265" s="2">
        <v>1476000</v>
      </c>
      <c r="G265" s="1">
        <v>40739</v>
      </c>
      <c r="H265" s="1">
        <v>39708</v>
      </c>
    </row>
    <row r="266" spans="1:8" x14ac:dyDescent="0.25">
      <c r="A266" t="s">
        <v>334</v>
      </c>
      <c r="B266" t="s">
        <v>135</v>
      </c>
      <c r="C266" t="s">
        <v>353</v>
      </c>
      <c r="D266" t="s">
        <v>337</v>
      </c>
      <c r="E266" s="1">
        <v>40953</v>
      </c>
      <c r="F266" s="2">
        <v>6246000</v>
      </c>
      <c r="G266" s="1">
        <v>40953</v>
      </c>
      <c r="H266" s="1">
        <v>39708</v>
      </c>
    </row>
    <row r="267" spans="1:8" x14ac:dyDescent="0.25">
      <c r="A267" t="s">
        <v>334</v>
      </c>
      <c r="B267" t="s">
        <v>135</v>
      </c>
      <c r="C267" t="s">
        <v>353</v>
      </c>
      <c r="D267" t="s">
        <v>337</v>
      </c>
      <c r="E267" s="1">
        <v>41060</v>
      </c>
      <c r="F267" s="2">
        <v>6246000</v>
      </c>
      <c r="G267" s="1">
        <v>41060</v>
      </c>
      <c r="H267" s="1">
        <v>39708</v>
      </c>
    </row>
    <row r="268" spans="1:8" x14ac:dyDescent="0.25">
      <c r="A268" t="s">
        <v>334</v>
      </c>
      <c r="B268" t="s">
        <v>137</v>
      </c>
      <c r="C268" t="s">
        <v>354</v>
      </c>
      <c r="D268" t="s">
        <v>337</v>
      </c>
      <c r="E268" s="1">
        <v>38433</v>
      </c>
      <c r="F268" s="2">
        <v>1231000</v>
      </c>
      <c r="G268" s="1">
        <v>38433</v>
      </c>
      <c r="H268" s="1">
        <v>37984</v>
      </c>
    </row>
    <row r="269" spans="1:8" x14ac:dyDescent="0.25">
      <c r="A269" t="s">
        <v>334</v>
      </c>
      <c r="B269" t="s">
        <v>137</v>
      </c>
      <c r="C269" t="s">
        <v>354</v>
      </c>
      <c r="D269" t="s">
        <v>337</v>
      </c>
      <c r="E269" s="1">
        <v>38657</v>
      </c>
      <c r="F269" s="2">
        <v>1161000</v>
      </c>
      <c r="G269" s="1">
        <v>38657</v>
      </c>
      <c r="H269" s="1">
        <v>37984</v>
      </c>
    </row>
    <row r="270" spans="1:8" x14ac:dyDescent="0.25">
      <c r="A270" t="s">
        <v>334</v>
      </c>
      <c r="B270" t="s">
        <v>137</v>
      </c>
      <c r="C270" t="s">
        <v>354</v>
      </c>
      <c r="D270" t="s">
        <v>337</v>
      </c>
      <c r="E270" s="1">
        <v>38933</v>
      </c>
      <c r="F270" s="2">
        <v>1161000</v>
      </c>
      <c r="G270" s="1">
        <v>38933</v>
      </c>
      <c r="H270" s="1">
        <v>37984</v>
      </c>
    </row>
    <row r="271" spans="1:8" x14ac:dyDescent="0.25">
      <c r="A271" t="s">
        <v>334</v>
      </c>
      <c r="B271" t="s">
        <v>137</v>
      </c>
      <c r="C271" t="s">
        <v>354</v>
      </c>
      <c r="D271" t="s">
        <v>337</v>
      </c>
      <c r="E271" s="1">
        <v>39072</v>
      </c>
      <c r="F271" s="2">
        <v>1161000</v>
      </c>
      <c r="G271" s="1">
        <v>39072</v>
      </c>
      <c r="H271" s="1">
        <v>37984</v>
      </c>
    </row>
    <row r="272" spans="1:8" x14ac:dyDescent="0.25">
      <c r="A272" t="s">
        <v>339</v>
      </c>
      <c r="B272" t="s">
        <v>143</v>
      </c>
      <c r="C272" t="s">
        <v>355</v>
      </c>
      <c r="D272" t="s">
        <v>340</v>
      </c>
      <c r="E272" s="1">
        <v>43823</v>
      </c>
      <c r="F272" s="2">
        <v>90210000</v>
      </c>
      <c r="G272" s="1">
        <v>43823</v>
      </c>
      <c r="H272" s="1">
        <v>43819</v>
      </c>
    </row>
    <row r="273" spans="1:8" x14ac:dyDescent="0.25">
      <c r="A273" t="s">
        <v>334</v>
      </c>
      <c r="B273" t="s">
        <v>143</v>
      </c>
      <c r="C273" t="s">
        <v>355</v>
      </c>
      <c r="D273" t="s">
        <v>337</v>
      </c>
      <c r="E273" s="1">
        <v>43832</v>
      </c>
      <c r="F273" s="2">
        <v>133640000</v>
      </c>
      <c r="G273" s="1">
        <v>43832</v>
      </c>
      <c r="H273" s="1">
        <v>43819</v>
      </c>
    </row>
    <row r="274" spans="1:8" x14ac:dyDescent="0.25">
      <c r="A274" t="s">
        <v>334</v>
      </c>
      <c r="B274" t="s">
        <v>143</v>
      </c>
      <c r="C274" t="s">
        <v>355</v>
      </c>
      <c r="D274" t="s">
        <v>337</v>
      </c>
      <c r="E274" s="1">
        <v>45502</v>
      </c>
      <c r="F274" s="2">
        <v>766750000</v>
      </c>
      <c r="G274" s="1">
        <v>45502</v>
      </c>
      <c r="H274" s="1">
        <v>45502</v>
      </c>
    </row>
    <row r="275" spans="1:8" x14ac:dyDescent="0.25">
      <c r="A275" t="s">
        <v>334</v>
      </c>
      <c r="B275" t="s">
        <v>143</v>
      </c>
      <c r="C275" t="s">
        <v>355</v>
      </c>
      <c r="D275" t="s">
        <v>337</v>
      </c>
      <c r="E275" s="1">
        <v>45587</v>
      </c>
      <c r="F275" s="2">
        <v>255600000</v>
      </c>
      <c r="G275" s="1">
        <v>45587</v>
      </c>
      <c r="H275" s="1">
        <v>45502</v>
      </c>
    </row>
    <row r="276" spans="1:8" x14ac:dyDescent="0.25">
      <c r="A276" t="s">
        <v>334</v>
      </c>
      <c r="B276" t="s">
        <v>145</v>
      </c>
      <c r="C276" t="s">
        <v>356</v>
      </c>
      <c r="D276" t="s">
        <v>337</v>
      </c>
      <c r="E276" s="1">
        <v>39139</v>
      </c>
      <c r="F276" s="2">
        <v>2000000</v>
      </c>
      <c r="G276" s="1">
        <v>39139</v>
      </c>
      <c r="H276" s="1">
        <v>39134</v>
      </c>
    </row>
    <row r="277" spans="1:8" x14ac:dyDescent="0.25">
      <c r="A277" t="s">
        <v>334</v>
      </c>
      <c r="B277" t="s">
        <v>145</v>
      </c>
      <c r="C277" t="s">
        <v>356</v>
      </c>
      <c r="D277" t="s">
        <v>337</v>
      </c>
      <c r="E277" s="1">
        <v>39331</v>
      </c>
      <c r="F277" s="2">
        <v>2000000</v>
      </c>
      <c r="G277" s="1">
        <v>39331</v>
      </c>
      <c r="H277" s="1">
        <v>39134</v>
      </c>
    </row>
    <row r="278" spans="1:8" x14ac:dyDescent="0.25">
      <c r="A278" t="s">
        <v>334</v>
      </c>
      <c r="B278" t="s">
        <v>145</v>
      </c>
      <c r="C278" t="s">
        <v>356</v>
      </c>
      <c r="D278" t="s">
        <v>337</v>
      </c>
      <c r="E278" s="1">
        <v>39457</v>
      </c>
      <c r="F278" s="2">
        <v>2000000</v>
      </c>
      <c r="G278" s="1">
        <v>39457</v>
      </c>
      <c r="H278" s="1">
        <v>39134</v>
      </c>
    </row>
    <row r="279" spans="1:8" x14ac:dyDescent="0.25">
      <c r="A279" t="s">
        <v>334</v>
      </c>
      <c r="B279" t="s">
        <v>145</v>
      </c>
      <c r="C279" t="s">
        <v>356</v>
      </c>
      <c r="D279" t="s">
        <v>337</v>
      </c>
      <c r="E279" s="1">
        <v>39715</v>
      </c>
      <c r="F279" s="2">
        <v>2000000</v>
      </c>
      <c r="G279" s="1">
        <v>39715</v>
      </c>
      <c r="H279" s="1">
        <v>39134</v>
      </c>
    </row>
    <row r="280" spans="1:8" x14ac:dyDescent="0.25">
      <c r="A280" t="s">
        <v>334</v>
      </c>
      <c r="B280" t="s">
        <v>145</v>
      </c>
      <c r="C280" t="s">
        <v>356</v>
      </c>
      <c r="D280" t="s">
        <v>337</v>
      </c>
      <c r="E280" s="1">
        <v>39869</v>
      </c>
      <c r="F280" s="2">
        <v>5110000</v>
      </c>
      <c r="G280" s="1">
        <v>39869</v>
      </c>
      <c r="H280" s="1">
        <v>39134</v>
      </c>
    </row>
    <row r="281" spans="1:8" x14ac:dyDescent="0.25">
      <c r="A281" t="s">
        <v>334</v>
      </c>
      <c r="B281" t="s">
        <v>145</v>
      </c>
      <c r="C281" t="s">
        <v>356</v>
      </c>
      <c r="D281" t="s">
        <v>337</v>
      </c>
      <c r="E281" s="1">
        <v>40035</v>
      </c>
      <c r="F281" s="2">
        <v>5110000</v>
      </c>
      <c r="G281" s="1">
        <v>40035</v>
      </c>
      <c r="H281" s="1">
        <v>39134</v>
      </c>
    </row>
    <row r="282" spans="1:8" x14ac:dyDescent="0.25">
      <c r="A282" t="s">
        <v>334</v>
      </c>
      <c r="B282" t="s">
        <v>145</v>
      </c>
      <c r="C282" t="s">
        <v>356</v>
      </c>
      <c r="D282" t="s">
        <v>337</v>
      </c>
      <c r="E282" s="1">
        <v>40234</v>
      </c>
      <c r="F282" s="2">
        <v>1995000</v>
      </c>
      <c r="G282" s="1">
        <v>40234</v>
      </c>
      <c r="H282" s="1">
        <v>39134</v>
      </c>
    </row>
    <row r="283" spans="1:8" x14ac:dyDescent="0.25">
      <c r="A283" t="s">
        <v>334</v>
      </c>
      <c r="B283" t="s">
        <v>145</v>
      </c>
      <c r="C283" t="s">
        <v>356</v>
      </c>
      <c r="D283" t="s">
        <v>337</v>
      </c>
      <c r="E283" s="1">
        <v>40561</v>
      </c>
      <c r="F283" s="2">
        <v>2332500</v>
      </c>
      <c r="G283" s="1">
        <v>40561</v>
      </c>
      <c r="H283" s="1">
        <v>39134</v>
      </c>
    </row>
    <row r="284" spans="1:8" x14ac:dyDescent="0.25">
      <c r="A284" t="s">
        <v>334</v>
      </c>
      <c r="B284" t="s">
        <v>145</v>
      </c>
      <c r="C284" t="s">
        <v>356</v>
      </c>
      <c r="D284" t="s">
        <v>337</v>
      </c>
      <c r="E284" s="1">
        <v>41064</v>
      </c>
      <c r="F284" s="2">
        <v>9330000</v>
      </c>
      <c r="G284" s="1">
        <v>41064</v>
      </c>
      <c r="H284" s="1">
        <v>41054</v>
      </c>
    </row>
    <row r="285" spans="1:8" x14ac:dyDescent="0.25">
      <c r="A285" t="s">
        <v>334</v>
      </c>
      <c r="B285" t="s">
        <v>145</v>
      </c>
      <c r="C285" t="s">
        <v>356</v>
      </c>
      <c r="D285" t="s">
        <v>337</v>
      </c>
      <c r="E285" s="1">
        <v>41424</v>
      </c>
      <c r="F285" s="2">
        <v>1555000</v>
      </c>
      <c r="G285" s="1">
        <v>41424</v>
      </c>
      <c r="H285" s="1">
        <v>41054</v>
      </c>
    </row>
    <row r="286" spans="1:8" x14ac:dyDescent="0.25">
      <c r="A286" t="s">
        <v>334</v>
      </c>
      <c r="B286" t="s">
        <v>145</v>
      </c>
      <c r="C286" t="s">
        <v>356</v>
      </c>
      <c r="D286" t="s">
        <v>337</v>
      </c>
      <c r="E286" s="1">
        <v>43921</v>
      </c>
      <c r="F286" s="2">
        <v>5000000</v>
      </c>
      <c r="G286" s="1">
        <v>43921</v>
      </c>
      <c r="H286" s="1">
        <v>43913</v>
      </c>
    </row>
    <row r="287" spans="1:8" x14ac:dyDescent="0.25">
      <c r="A287" t="s">
        <v>334</v>
      </c>
      <c r="B287" t="s">
        <v>145</v>
      </c>
      <c r="C287" t="s">
        <v>356</v>
      </c>
      <c r="D287" t="s">
        <v>337</v>
      </c>
      <c r="E287" s="1">
        <v>44216</v>
      </c>
      <c r="F287" s="2">
        <v>20000000</v>
      </c>
      <c r="G287" s="1">
        <v>44216</v>
      </c>
      <c r="H287" s="1">
        <v>43913</v>
      </c>
    </row>
    <row r="288" spans="1:8" x14ac:dyDescent="0.25">
      <c r="A288" t="s">
        <v>334</v>
      </c>
      <c r="B288" t="s">
        <v>145</v>
      </c>
      <c r="C288" t="s">
        <v>356</v>
      </c>
      <c r="D288" t="s">
        <v>337</v>
      </c>
      <c r="E288" s="1">
        <v>44349</v>
      </c>
      <c r="F288" s="2">
        <v>10000000</v>
      </c>
      <c r="G288" s="1">
        <v>44349</v>
      </c>
      <c r="H288" s="1">
        <v>43913</v>
      </c>
    </row>
    <row r="289" spans="1:8" x14ac:dyDescent="0.25">
      <c r="A289" t="s">
        <v>334</v>
      </c>
      <c r="B289" t="s">
        <v>145</v>
      </c>
      <c r="C289" t="s">
        <v>356</v>
      </c>
      <c r="D289" t="s">
        <v>337</v>
      </c>
      <c r="E289" s="1">
        <v>44530</v>
      </c>
      <c r="F289" s="2">
        <v>5000000</v>
      </c>
      <c r="G289" s="1">
        <v>44530</v>
      </c>
      <c r="H289" s="1">
        <v>43913</v>
      </c>
    </row>
    <row r="290" spans="1:8" x14ac:dyDescent="0.25">
      <c r="A290" t="s">
        <v>334</v>
      </c>
      <c r="B290" t="s">
        <v>145</v>
      </c>
      <c r="C290" t="s">
        <v>356</v>
      </c>
      <c r="D290" t="s">
        <v>337</v>
      </c>
      <c r="E290" s="1">
        <v>44726</v>
      </c>
      <c r="F290" s="2">
        <v>5000000</v>
      </c>
      <c r="G290" s="1">
        <v>44726</v>
      </c>
      <c r="H290" s="1">
        <v>43913</v>
      </c>
    </row>
    <row r="291" spans="1:8" x14ac:dyDescent="0.25">
      <c r="A291" t="s">
        <v>334</v>
      </c>
      <c r="B291" t="s">
        <v>145</v>
      </c>
      <c r="C291" t="s">
        <v>356</v>
      </c>
      <c r="D291" t="s">
        <v>337</v>
      </c>
      <c r="E291" s="1">
        <v>44911</v>
      </c>
      <c r="F291" s="2">
        <v>20550000</v>
      </c>
      <c r="G291" s="1">
        <v>44911</v>
      </c>
      <c r="H291" s="1">
        <v>43913</v>
      </c>
    </row>
    <row r="292" spans="1:8" x14ac:dyDescent="0.25">
      <c r="A292" t="s">
        <v>334</v>
      </c>
      <c r="B292" t="s">
        <v>145</v>
      </c>
      <c r="C292" t="s">
        <v>356</v>
      </c>
      <c r="D292" t="s">
        <v>337</v>
      </c>
      <c r="E292" s="1">
        <v>45091</v>
      </c>
      <c r="F292" s="2">
        <v>5000000</v>
      </c>
      <c r="G292" s="1">
        <v>45091</v>
      </c>
      <c r="H292" s="1">
        <v>43913</v>
      </c>
    </row>
    <row r="293" spans="1:8" x14ac:dyDescent="0.25">
      <c r="A293" t="s">
        <v>334</v>
      </c>
      <c r="B293" t="s">
        <v>145</v>
      </c>
      <c r="C293" t="s">
        <v>356</v>
      </c>
      <c r="D293" t="s">
        <v>337</v>
      </c>
      <c r="E293" s="1">
        <v>45308</v>
      </c>
      <c r="F293" s="2">
        <v>8290000</v>
      </c>
      <c r="G293" s="1">
        <v>45308</v>
      </c>
      <c r="H293" s="1">
        <v>45303</v>
      </c>
    </row>
    <row r="294" spans="1:8" x14ac:dyDescent="0.25">
      <c r="A294" t="s">
        <v>334</v>
      </c>
      <c r="B294" t="s">
        <v>145</v>
      </c>
      <c r="C294" t="s">
        <v>356</v>
      </c>
      <c r="D294" t="s">
        <v>337</v>
      </c>
      <c r="E294" s="1">
        <v>45484</v>
      </c>
      <c r="F294" s="2">
        <v>8290000</v>
      </c>
      <c r="G294" s="1">
        <v>45484</v>
      </c>
      <c r="H294" s="1">
        <v>45303</v>
      </c>
    </row>
    <row r="295" spans="1:8" x14ac:dyDescent="0.25">
      <c r="A295" t="s">
        <v>334</v>
      </c>
      <c r="B295" t="s">
        <v>145</v>
      </c>
      <c r="C295" t="s">
        <v>356</v>
      </c>
      <c r="D295" t="s">
        <v>337</v>
      </c>
      <c r="E295" s="1">
        <v>45650</v>
      </c>
      <c r="F295" s="2">
        <v>8290000</v>
      </c>
      <c r="G295" s="1">
        <v>45650</v>
      </c>
      <c r="H295" s="1">
        <v>45303</v>
      </c>
    </row>
    <row r="296" spans="1:8" x14ac:dyDescent="0.25">
      <c r="A296" t="s">
        <v>334</v>
      </c>
      <c r="B296" t="s">
        <v>146</v>
      </c>
      <c r="C296" t="s">
        <v>357</v>
      </c>
      <c r="D296" t="s">
        <v>337</v>
      </c>
      <c r="E296" s="1">
        <v>38540</v>
      </c>
      <c r="F296" s="2">
        <v>26350000</v>
      </c>
      <c r="G296" s="1">
        <v>38540</v>
      </c>
      <c r="H296" s="1">
        <v>37750</v>
      </c>
    </row>
    <row r="297" spans="1:8" x14ac:dyDescent="0.25">
      <c r="A297" t="s">
        <v>334</v>
      </c>
      <c r="B297" t="s">
        <v>146</v>
      </c>
      <c r="C297" t="s">
        <v>357</v>
      </c>
      <c r="D297" t="s">
        <v>337</v>
      </c>
      <c r="E297" s="1">
        <v>38895</v>
      </c>
      <c r="F297" s="2">
        <v>52700000</v>
      </c>
      <c r="G297" s="1">
        <v>38895</v>
      </c>
      <c r="H297" s="1">
        <v>37750</v>
      </c>
    </row>
    <row r="298" spans="1:8" x14ac:dyDescent="0.25">
      <c r="A298" t="s">
        <v>334</v>
      </c>
      <c r="B298" t="s">
        <v>146</v>
      </c>
      <c r="C298" t="s">
        <v>357</v>
      </c>
      <c r="D298" t="s">
        <v>337</v>
      </c>
      <c r="E298" s="1">
        <v>39021</v>
      </c>
      <c r="F298" s="2">
        <v>26400000</v>
      </c>
      <c r="G298" s="1">
        <v>39021</v>
      </c>
      <c r="H298" s="1">
        <v>37750</v>
      </c>
    </row>
    <row r="299" spans="1:8" x14ac:dyDescent="0.25">
      <c r="A299" t="s">
        <v>334</v>
      </c>
      <c r="B299" t="s">
        <v>146</v>
      </c>
      <c r="C299" t="s">
        <v>357</v>
      </c>
      <c r="D299" t="s">
        <v>337</v>
      </c>
      <c r="E299" s="1">
        <v>40024</v>
      </c>
      <c r="F299" s="2">
        <v>67650000</v>
      </c>
      <c r="G299" s="1">
        <v>40024</v>
      </c>
      <c r="H299" s="1">
        <v>40009</v>
      </c>
    </row>
    <row r="300" spans="1:8" x14ac:dyDescent="0.25">
      <c r="A300" t="s">
        <v>334</v>
      </c>
      <c r="B300" t="s">
        <v>146</v>
      </c>
      <c r="C300" t="s">
        <v>357</v>
      </c>
      <c r="D300" t="s">
        <v>337</v>
      </c>
      <c r="E300" s="1">
        <v>40353</v>
      </c>
      <c r="F300" s="2">
        <v>81500000</v>
      </c>
      <c r="G300" s="1">
        <v>40353</v>
      </c>
      <c r="H300" s="1">
        <v>40009</v>
      </c>
    </row>
    <row r="301" spans="1:8" x14ac:dyDescent="0.25">
      <c r="A301" t="s">
        <v>334</v>
      </c>
      <c r="B301" t="s">
        <v>146</v>
      </c>
      <c r="C301" t="s">
        <v>357</v>
      </c>
      <c r="D301" t="s">
        <v>337</v>
      </c>
      <c r="E301" s="1">
        <v>40703</v>
      </c>
      <c r="F301" s="2">
        <v>59580000</v>
      </c>
      <c r="G301" s="1">
        <v>40703</v>
      </c>
      <c r="H301" s="1">
        <v>40009</v>
      </c>
    </row>
    <row r="302" spans="1:8" x14ac:dyDescent="0.25">
      <c r="A302" t="s">
        <v>334</v>
      </c>
      <c r="B302" t="s">
        <v>146</v>
      </c>
      <c r="C302" t="s">
        <v>357</v>
      </c>
      <c r="D302" t="s">
        <v>337</v>
      </c>
      <c r="E302" s="1">
        <v>40905</v>
      </c>
      <c r="F302" s="2">
        <v>59580000</v>
      </c>
      <c r="G302" s="1">
        <v>40905</v>
      </c>
      <c r="H302" s="1">
        <v>40009</v>
      </c>
    </row>
    <row r="303" spans="1:8" x14ac:dyDescent="0.25">
      <c r="A303" t="s">
        <v>334</v>
      </c>
      <c r="B303" t="s">
        <v>146</v>
      </c>
      <c r="C303" t="s">
        <v>357</v>
      </c>
      <c r="D303" t="s">
        <v>337</v>
      </c>
      <c r="E303" s="1">
        <v>41113</v>
      </c>
      <c r="F303" s="2">
        <v>119140000</v>
      </c>
      <c r="G303" s="1">
        <v>41113</v>
      </c>
      <c r="H303" s="1">
        <v>40009</v>
      </c>
    </row>
    <row r="304" spans="1:8" x14ac:dyDescent="0.25">
      <c r="A304" t="s">
        <v>334</v>
      </c>
      <c r="B304" t="s">
        <v>146</v>
      </c>
      <c r="C304" t="s">
        <v>357</v>
      </c>
      <c r="D304" t="s">
        <v>337</v>
      </c>
      <c r="E304" s="1">
        <v>42108</v>
      </c>
      <c r="F304" s="2">
        <v>83025000</v>
      </c>
      <c r="G304" s="1">
        <v>42108</v>
      </c>
      <c r="H304" s="1">
        <v>42097</v>
      </c>
    </row>
    <row r="305" spans="1:8" x14ac:dyDescent="0.25">
      <c r="A305" t="s">
        <v>334</v>
      </c>
      <c r="B305" t="s">
        <v>146</v>
      </c>
      <c r="C305" t="s">
        <v>357</v>
      </c>
      <c r="D305" t="s">
        <v>337</v>
      </c>
      <c r="E305" s="1">
        <v>42255</v>
      </c>
      <c r="F305" s="2">
        <v>83025000</v>
      </c>
      <c r="G305" s="1">
        <v>42255</v>
      </c>
      <c r="H305" s="1">
        <v>42097</v>
      </c>
    </row>
    <row r="306" spans="1:8" x14ac:dyDescent="0.25">
      <c r="A306" t="s">
        <v>334</v>
      </c>
      <c r="B306" t="s">
        <v>146</v>
      </c>
      <c r="C306" t="s">
        <v>357</v>
      </c>
      <c r="D306" t="s">
        <v>337</v>
      </c>
      <c r="E306" s="1">
        <v>42390</v>
      </c>
      <c r="F306" s="2">
        <v>83025000</v>
      </c>
      <c r="G306" s="1">
        <v>42390</v>
      </c>
      <c r="H306" s="1">
        <v>42097</v>
      </c>
    </row>
    <row r="307" spans="1:8" x14ac:dyDescent="0.25">
      <c r="A307" t="s">
        <v>334</v>
      </c>
      <c r="B307" t="s">
        <v>146</v>
      </c>
      <c r="C307" t="s">
        <v>357</v>
      </c>
      <c r="D307" t="s">
        <v>337</v>
      </c>
      <c r="E307" s="1">
        <v>42649</v>
      </c>
      <c r="F307" s="2">
        <v>83025000</v>
      </c>
      <c r="G307" s="1">
        <v>42649</v>
      </c>
      <c r="H307" s="1">
        <v>42097</v>
      </c>
    </row>
    <row r="308" spans="1:8" x14ac:dyDescent="0.25">
      <c r="A308" t="s">
        <v>334</v>
      </c>
      <c r="B308" t="s">
        <v>146</v>
      </c>
      <c r="C308" t="s">
        <v>357</v>
      </c>
      <c r="D308" t="s">
        <v>337</v>
      </c>
      <c r="E308" s="1">
        <v>42985</v>
      </c>
      <c r="F308" s="2">
        <v>66420000</v>
      </c>
      <c r="G308" s="1">
        <v>42985</v>
      </c>
      <c r="H308" s="1">
        <v>42097</v>
      </c>
    </row>
    <row r="309" spans="1:8" x14ac:dyDescent="0.25">
      <c r="A309" t="s">
        <v>334</v>
      </c>
      <c r="B309" t="s">
        <v>146</v>
      </c>
      <c r="C309" t="s">
        <v>357</v>
      </c>
      <c r="D309" t="s">
        <v>337</v>
      </c>
      <c r="E309" s="1">
        <v>43230</v>
      </c>
      <c r="F309" s="2">
        <v>132840000</v>
      </c>
      <c r="G309" s="1">
        <v>43230</v>
      </c>
      <c r="H309" s="1">
        <v>42097</v>
      </c>
    </row>
    <row r="310" spans="1:8" x14ac:dyDescent="0.25">
      <c r="A310" t="s">
        <v>334</v>
      </c>
      <c r="B310" t="s">
        <v>146</v>
      </c>
      <c r="C310" t="s">
        <v>357</v>
      </c>
      <c r="D310" t="s">
        <v>337</v>
      </c>
      <c r="E310" s="1">
        <v>43553</v>
      </c>
      <c r="F310" s="2">
        <v>132840000</v>
      </c>
      <c r="G310" s="1">
        <v>43553</v>
      </c>
      <c r="H310" s="1">
        <v>42097</v>
      </c>
    </row>
    <row r="311" spans="1:8" x14ac:dyDescent="0.25">
      <c r="A311" t="s">
        <v>334</v>
      </c>
      <c r="B311" t="s">
        <v>146</v>
      </c>
      <c r="C311" t="s">
        <v>357</v>
      </c>
      <c r="D311" t="s">
        <v>337</v>
      </c>
      <c r="E311" s="1">
        <v>45065</v>
      </c>
      <c r="F311" s="2">
        <v>451400000</v>
      </c>
      <c r="G311" s="1">
        <v>45065</v>
      </c>
      <c r="H311" s="1">
        <v>45063</v>
      </c>
    </row>
    <row r="312" spans="1:8" x14ac:dyDescent="0.25">
      <c r="A312" t="s">
        <v>334</v>
      </c>
      <c r="B312" t="s">
        <v>146</v>
      </c>
      <c r="C312" t="s">
        <v>357</v>
      </c>
      <c r="D312" t="s">
        <v>337</v>
      </c>
      <c r="E312" s="1">
        <v>45314</v>
      </c>
      <c r="F312" s="2">
        <v>451400000</v>
      </c>
      <c r="G312" s="1">
        <v>45314</v>
      </c>
      <c r="H312" s="1">
        <v>45063</v>
      </c>
    </row>
    <row r="313" spans="1:8" x14ac:dyDescent="0.25">
      <c r="A313" t="s">
        <v>334</v>
      </c>
      <c r="B313" t="s">
        <v>146</v>
      </c>
      <c r="C313" t="s">
        <v>357</v>
      </c>
      <c r="D313" t="s">
        <v>337</v>
      </c>
      <c r="E313" s="1">
        <v>45475</v>
      </c>
      <c r="F313" s="2">
        <v>269100000</v>
      </c>
      <c r="G313" s="1">
        <v>45475</v>
      </c>
      <c r="H313" s="1">
        <v>45063</v>
      </c>
    </row>
    <row r="314" spans="1:8" x14ac:dyDescent="0.25">
      <c r="A314" t="s">
        <v>334</v>
      </c>
      <c r="B314" t="s">
        <v>146</v>
      </c>
      <c r="C314" t="s">
        <v>357</v>
      </c>
      <c r="D314" t="s">
        <v>337</v>
      </c>
      <c r="E314" s="1">
        <v>45630</v>
      </c>
      <c r="F314" s="2">
        <v>269100000</v>
      </c>
      <c r="G314" s="1">
        <v>45630</v>
      </c>
      <c r="H314" s="1">
        <v>45063</v>
      </c>
    </row>
    <row r="315" spans="1:8" x14ac:dyDescent="0.25">
      <c r="A315" t="s">
        <v>334</v>
      </c>
      <c r="B315" t="s">
        <v>148</v>
      </c>
      <c r="C315" t="s">
        <v>358</v>
      </c>
      <c r="D315" t="s">
        <v>337</v>
      </c>
      <c r="E315" s="1">
        <v>38835</v>
      </c>
      <c r="F315" s="2">
        <v>1560000</v>
      </c>
      <c r="G315" s="1">
        <v>38835</v>
      </c>
      <c r="H315" s="1">
        <v>38824</v>
      </c>
    </row>
    <row r="316" spans="1:8" x14ac:dyDescent="0.25">
      <c r="A316" t="s">
        <v>334</v>
      </c>
      <c r="B316" t="s">
        <v>148</v>
      </c>
      <c r="C316" t="s">
        <v>358</v>
      </c>
      <c r="D316" t="s">
        <v>337</v>
      </c>
      <c r="E316" s="1">
        <v>39644</v>
      </c>
      <c r="F316" s="2">
        <v>2980000</v>
      </c>
      <c r="G316" s="1">
        <v>39644</v>
      </c>
      <c r="H316" s="1">
        <v>38824</v>
      </c>
    </row>
    <row r="317" spans="1:8" x14ac:dyDescent="0.25">
      <c r="A317" t="s">
        <v>334</v>
      </c>
      <c r="B317" t="s">
        <v>148</v>
      </c>
      <c r="C317" t="s">
        <v>358</v>
      </c>
      <c r="D317" t="s">
        <v>337</v>
      </c>
      <c r="E317" s="1">
        <v>39804</v>
      </c>
      <c r="F317" s="2">
        <v>2410000</v>
      </c>
      <c r="G317" s="1">
        <v>39804</v>
      </c>
      <c r="H317" s="1">
        <v>38824</v>
      </c>
    </row>
    <row r="318" spans="1:8" x14ac:dyDescent="0.25">
      <c r="A318" t="s">
        <v>334</v>
      </c>
      <c r="B318" t="s">
        <v>148</v>
      </c>
      <c r="C318" t="s">
        <v>358</v>
      </c>
      <c r="D318" t="s">
        <v>337</v>
      </c>
      <c r="E318" s="1">
        <v>39975</v>
      </c>
      <c r="F318" s="2">
        <v>3875000</v>
      </c>
      <c r="G318" s="1">
        <v>39975</v>
      </c>
      <c r="H318" s="1">
        <v>38824</v>
      </c>
    </row>
    <row r="319" spans="1:8" x14ac:dyDescent="0.25">
      <c r="A319" t="s">
        <v>334</v>
      </c>
      <c r="B319" t="s">
        <v>148</v>
      </c>
      <c r="C319" t="s">
        <v>358</v>
      </c>
      <c r="D319" t="s">
        <v>337</v>
      </c>
      <c r="E319" s="1">
        <v>40151</v>
      </c>
      <c r="F319" s="2">
        <v>3875000</v>
      </c>
      <c r="G319" s="1">
        <v>40151</v>
      </c>
      <c r="H319" s="1">
        <v>38824</v>
      </c>
    </row>
    <row r="320" spans="1:8" x14ac:dyDescent="0.25">
      <c r="A320" t="s">
        <v>334</v>
      </c>
      <c r="B320" t="s">
        <v>148</v>
      </c>
      <c r="C320" t="s">
        <v>358</v>
      </c>
      <c r="D320" t="s">
        <v>337</v>
      </c>
      <c r="E320" s="1">
        <v>40281</v>
      </c>
      <c r="F320" s="2">
        <v>1680000</v>
      </c>
      <c r="G320" s="1">
        <v>40281</v>
      </c>
      <c r="H320" s="1">
        <v>38824</v>
      </c>
    </row>
    <row r="321" spans="1:8" x14ac:dyDescent="0.25">
      <c r="A321" t="s">
        <v>334</v>
      </c>
      <c r="B321" t="s">
        <v>148</v>
      </c>
      <c r="C321" t="s">
        <v>358</v>
      </c>
      <c r="D321" t="s">
        <v>337</v>
      </c>
      <c r="E321" s="1">
        <v>40287</v>
      </c>
      <c r="F321" s="2">
        <v>1275000</v>
      </c>
      <c r="G321" s="1">
        <v>40287</v>
      </c>
      <c r="H321" s="1">
        <v>40286</v>
      </c>
    </row>
    <row r="322" spans="1:8" x14ac:dyDescent="0.25">
      <c r="A322" t="s">
        <v>334</v>
      </c>
      <c r="B322" t="s">
        <v>148</v>
      </c>
      <c r="C322" t="s">
        <v>358</v>
      </c>
      <c r="D322" t="s">
        <v>337</v>
      </c>
      <c r="E322" s="1">
        <v>40518</v>
      </c>
      <c r="F322" s="2">
        <v>1250000</v>
      </c>
      <c r="G322" s="1">
        <v>40518</v>
      </c>
      <c r="H322" s="1">
        <v>40286</v>
      </c>
    </row>
    <row r="323" spans="1:8" x14ac:dyDescent="0.25">
      <c r="A323" t="s">
        <v>334</v>
      </c>
      <c r="B323" t="s">
        <v>148</v>
      </c>
      <c r="C323" t="s">
        <v>358</v>
      </c>
      <c r="D323" t="s">
        <v>337</v>
      </c>
      <c r="E323" s="1">
        <v>41827</v>
      </c>
      <c r="F323" s="2">
        <v>2040000</v>
      </c>
      <c r="G323" s="1">
        <v>41827</v>
      </c>
      <c r="H323" s="1">
        <v>41816</v>
      </c>
    </row>
    <row r="324" spans="1:8" x14ac:dyDescent="0.25">
      <c r="A324" t="s">
        <v>334</v>
      </c>
      <c r="B324" t="s">
        <v>148</v>
      </c>
      <c r="C324" t="s">
        <v>358</v>
      </c>
      <c r="D324" t="s">
        <v>337</v>
      </c>
      <c r="E324" s="1">
        <v>41995</v>
      </c>
      <c r="F324" s="2">
        <v>2000000</v>
      </c>
      <c r="G324" s="1">
        <v>41995</v>
      </c>
      <c r="H324" s="1">
        <v>41816</v>
      </c>
    </row>
    <row r="325" spans="1:8" x14ac:dyDescent="0.25">
      <c r="A325" t="s">
        <v>334</v>
      </c>
      <c r="B325" t="s">
        <v>148</v>
      </c>
      <c r="C325" t="s">
        <v>358</v>
      </c>
      <c r="D325" t="s">
        <v>337</v>
      </c>
      <c r="E325" s="1">
        <v>42192</v>
      </c>
      <c r="F325" s="2">
        <v>2000000</v>
      </c>
      <c r="G325" s="1">
        <v>42192</v>
      </c>
      <c r="H325" s="1">
        <v>41816</v>
      </c>
    </row>
    <row r="326" spans="1:8" x14ac:dyDescent="0.25">
      <c r="A326" t="s">
        <v>334</v>
      </c>
      <c r="B326" t="s">
        <v>148</v>
      </c>
      <c r="C326" t="s">
        <v>358</v>
      </c>
      <c r="D326" t="s">
        <v>337</v>
      </c>
      <c r="E326" s="1">
        <v>42341</v>
      </c>
      <c r="F326" s="2">
        <v>2000000</v>
      </c>
      <c r="G326" s="1">
        <v>42341</v>
      </c>
      <c r="H326" s="1">
        <v>41816</v>
      </c>
    </row>
    <row r="327" spans="1:8" x14ac:dyDescent="0.25">
      <c r="A327" t="s">
        <v>334</v>
      </c>
      <c r="B327" t="s">
        <v>148</v>
      </c>
      <c r="C327" t="s">
        <v>358</v>
      </c>
      <c r="D327" t="s">
        <v>337</v>
      </c>
      <c r="E327" s="1">
        <v>42516</v>
      </c>
      <c r="F327" s="2">
        <v>2000000</v>
      </c>
      <c r="G327" s="1">
        <v>42516</v>
      </c>
      <c r="H327" s="1">
        <v>41816</v>
      </c>
    </row>
    <row r="328" spans="1:8" x14ac:dyDescent="0.25">
      <c r="A328" t="s">
        <v>334</v>
      </c>
      <c r="B328" t="s">
        <v>148</v>
      </c>
      <c r="C328" t="s">
        <v>358</v>
      </c>
      <c r="D328" t="s">
        <v>337</v>
      </c>
      <c r="E328" s="1">
        <v>42726</v>
      </c>
      <c r="F328" s="2">
        <v>2000000</v>
      </c>
      <c r="G328" s="1">
        <v>42726</v>
      </c>
      <c r="H328" s="1">
        <v>41816</v>
      </c>
    </row>
    <row r="329" spans="1:8" x14ac:dyDescent="0.25">
      <c r="A329" t="s">
        <v>334</v>
      </c>
      <c r="B329" t="s">
        <v>148</v>
      </c>
      <c r="C329" t="s">
        <v>358</v>
      </c>
      <c r="D329" t="s">
        <v>337</v>
      </c>
      <c r="E329" s="1">
        <v>42881</v>
      </c>
      <c r="F329" s="2">
        <v>2000000</v>
      </c>
      <c r="G329" s="1">
        <v>42881</v>
      </c>
      <c r="H329" s="1">
        <v>41816</v>
      </c>
    </row>
    <row r="330" spans="1:8" x14ac:dyDescent="0.25">
      <c r="A330" t="s">
        <v>334</v>
      </c>
      <c r="B330" t="s">
        <v>149</v>
      </c>
      <c r="C330" t="s">
        <v>359</v>
      </c>
      <c r="D330" t="s">
        <v>337</v>
      </c>
      <c r="E330" s="1">
        <v>39444</v>
      </c>
      <c r="F330" s="2">
        <v>6885000</v>
      </c>
      <c r="G330" s="1">
        <v>39444</v>
      </c>
      <c r="H330" s="1">
        <v>39437</v>
      </c>
    </row>
    <row r="331" spans="1:8" x14ac:dyDescent="0.25">
      <c r="A331" t="s">
        <v>334</v>
      </c>
      <c r="B331" t="s">
        <v>149</v>
      </c>
      <c r="C331" t="s">
        <v>359</v>
      </c>
      <c r="D331" t="s">
        <v>337</v>
      </c>
      <c r="E331" s="1">
        <v>39665</v>
      </c>
      <c r="F331" s="2">
        <v>17595000</v>
      </c>
      <c r="G331" s="1">
        <v>39665</v>
      </c>
      <c r="H331" s="1">
        <v>39437</v>
      </c>
    </row>
    <row r="332" spans="1:8" x14ac:dyDescent="0.25">
      <c r="A332" t="s">
        <v>334</v>
      </c>
      <c r="B332" t="s">
        <v>149</v>
      </c>
      <c r="C332" t="s">
        <v>359</v>
      </c>
      <c r="D332" t="s">
        <v>337</v>
      </c>
      <c r="E332" s="1">
        <v>40973</v>
      </c>
      <c r="F332" s="2">
        <v>18360000</v>
      </c>
      <c r="G332" s="1">
        <v>40973</v>
      </c>
      <c r="H332" s="1">
        <v>40963</v>
      </c>
    </row>
    <row r="333" spans="1:8" x14ac:dyDescent="0.25">
      <c r="A333" t="s">
        <v>334</v>
      </c>
      <c r="B333" t="s">
        <v>149</v>
      </c>
      <c r="C333" t="s">
        <v>359</v>
      </c>
      <c r="D333" t="s">
        <v>337</v>
      </c>
      <c r="E333" s="1">
        <v>41187</v>
      </c>
      <c r="F333" s="2">
        <v>18360000</v>
      </c>
      <c r="G333" s="1">
        <v>41187</v>
      </c>
      <c r="H333" s="1">
        <v>40963</v>
      </c>
    </row>
    <row r="334" spans="1:8" x14ac:dyDescent="0.25">
      <c r="A334" t="s">
        <v>334</v>
      </c>
      <c r="B334" t="s">
        <v>149</v>
      </c>
      <c r="C334" t="s">
        <v>359</v>
      </c>
      <c r="D334" t="s">
        <v>337</v>
      </c>
      <c r="E334" s="1">
        <v>41424</v>
      </c>
      <c r="F334" s="2">
        <v>18360000</v>
      </c>
      <c r="G334" s="1">
        <v>41424</v>
      </c>
      <c r="H334" s="1">
        <v>40963</v>
      </c>
    </row>
    <row r="335" spans="1:8" x14ac:dyDescent="0.25">
      <c r="A335" t="s">
        <v>334</v>
      </c>
      <c r="B335" t="s">
        <v>149</v>
      </c>
      <c r="C335" t="s">
        <v>359</v>
      </c>
      <c r="D335" t="s">
        <v>337</v>
      </c>
      <c r="E335" s="1">
        <v>41696</v>
      </c>
      <c r="F335" s="2">
        <v>18360000</v>
      </c>
      <c r="G335" s="1">
        <v>41696</v>
      </c>
      <c r="H335" s="1">
        <v>40963</v>
      </c>
    </row>
    <row r="336" spans="1:8" x14ac:dyDescent="0.25">
      <c r="A336" t="s">
        <v>334</v>
      </c>
      <c r="B336" t="s">
        <v>149</v>
      </c>
      <c r="C336" t="s">
        <v>359</v>
      </c>
      <c r="D336" t="s">
        <v>337</v>
      </c>
      <c r="E336" s="1">
        <v>41862</v>
      </c>
      <c r="F336" s="2">
        <v>18360000</v>
      </c>
      <c r="G336" s="1">
        <v>41862</v>
      </c>
      <c r="H336" s="1">
        <v>40963</v>
      </c>
    </row>
    <row r="337" spans="1:8" x14ac:dyDescent="0.25">
      <c r="A337" t="s">
        <v>334</v>
      </c>
      <c r="B337" t="s">
        <v>149</v>
      </c>
      <c r="C337" t="s">
        <v>359</v>
      </c>
      <c r="D337" t="s">
        <v>337</v>
      </c>
      <c r="E337" s="1">
        <v>42053</v>
      </c>
      <c r="F337" s="2">
        <v>45135000</v>
      </c>
      <c r="G337" s="1">
        <v>42053</v>
      </c>
      <c r="H337" s="1">
        <v>40963</v>
      </c>
    </row>
    <row r="338" spans="1:8" x14ac:dyDescent="0.25">
      <c r="A338" t="s">
        <v>334</v>
      </c>
      <c r="B338" t="s">
        <v>149</v>
      </c>
      <c r="C338" t="s">
        <v>359</v>
      </c>
      <c r="D338" t="s">
        <v>337</v>
      </c>
      <c r="E338" s="1">
        <v>42451</v>
      </c>
      <c r="F338" s="2">
        <v>18360000</v>
      </c>
      <c r="G338" s="1">
        <v>42451</v>
      </c>
      <c r="H338" s="1">
        <v>40963</v>
      </c>
    </row>
    <row r="339" spans="1:8" x14ac:dyDescent="0.25">
      <c r="A339" t="s">
        <v>334</v>
      </c>
      <c r="B339" t="s">
        <v>149</v>
      </c>
      <c r="C339" t="s">
        <v>359</v>
      </c>
      <c r="D339" t="s">
        <v>337</v>
      </c>
      <c r="E339" s="1">
        <v>42681</v>
      </c>
      <c r="F339" s="2">
        <v>18360000</v>
      </c>
      <c r="G339" s="1">
        <v>42681</v>
      </c>
      <c r="H339" s="1">
        <v>40963</v>
      </c>
    </row>
    <row r="340" spans="1:8" x14ac:dyDescent="0.25">
      <c r="A340" t="s">
        <v>334</v>
      </c>
      <c r="B340" t="s">
        <v>149</v>
      </c>
      <c r="C340" t="s">
        <v>359</v>
      </c>
      <c r="D340" t="s">
        <v>337</v>
      </c>
      <c r="E340" s="1">
        <v>43088</v>
      </c>
      <c r="F340" s="2">
        <v>17210000</v>
      </c>
      <c r="G340" s="1">
        <v>43088</v>
      </c>
      <c r="H340" s="1">
        <v>43080</v>
      </c>
    </row>
    <row r="341" spans="1:8" x14ac:dyDescent="0.25">
      <c r="A341" t="s">
        <v>334</v>
      </c>
      <c r="B341" t="s">
        <v>149</v>
      </c>
      <c r="C341" t="s">
        <v>359</v>
      </c>
      <c r="D341" t="s">
        <v>337</v>
      </c>
      <c r="E341" s="1">
        <v>43284</v>
      </c>
      <c r="F341" s="2">
        <v>17213000</v>
      </c>
      <c r="G341" s="1">
        <v>43284</v>
      </c>
      <c r="H341" s="1">
        <v>43080</v>
      </c>
    </row>
    <row r="342" spans="1:8" x14ac:dyDescent="0.25">
      <c r="A342" t="s">
        <v>334</v>
      </c>
      <c r="B342" t="s">
        <v>149</v>
      </c>
      <c r="C342" t="s">
        <v>359</v>
      </c>
      <c r="D342" t="s">
        <v>337</v>
      </c>
      <c r="E342" s="1">
        <v>43462</v>
      </c>
      <c r="F342" s="2">
        <v>17213000</v>
      </c>
      <c r="G342" s="1">
        <v>43462</v>
      </c>
      <c r="H342" s="1">
        <v>43080</v>
      </c>
    </row>
    <row r="343" spans="1:8" x14ac:dyDescent="0.25">
      <c r="A343" t="s">
        <v>334</v>
      </c>
      <c r="B343" t="s">
        <v>149</v>
      </c>
      <c r="C343" t="s">
        <v>359</v>
      </c>
      <c r="D343" t="s">
        <v>337</v>
      </c>
      <c r="E343" s="1">
        <v>43682</v>
      </c>
      <c r="F343" s="2">
        <v>17213000</v>
      </c>
      <c r="G343" s="1">
        <v>43682</v>
      </c>
      <c r="H343" s="1">
        <v>43080</v>
      </c>
    </row>
    <row r="344" spans="1:8" x14ac:dyDescent="0.25">
      <c r="A344" t="s">
        <v>334</v>
      </c>
      <c r="B344" t="s">
        <v>149</v>
      </c>
      <c r="C344" t="s">
        <v>359</v>
      </c>
      <c r="D344" t="s">
        <v>337</v>
      </c>
      <c r="E344" s="1">
        <v>43927</v>
      </c>
      <c r="F344" s="2">
        <v>17213000</v>
      </c>
      <c r="G344" s="1">
        <v>43927</v>
      </c>
      <c r="H344" s="1">
        <v>43080</v>
      </c>
    </row>
    <row r="345" spans="1:8" x14ac:dyDescent="0.25">
      <c r="A345" t="s">
        <v>334</v>
      </c>
      <c r="B345" t="s">
        <v>149</v>
      </c>
      <c r="C345" t="s">
        <v>359</v>
      </c>
      <c r="D345" t="s">
        <v>337</v>
      </c>
      <c r="E345" s="1">
        <v>44176</v>
      </c>
      <c r="F345" s="2">
        <v>34426000</v>
      </c>
      <c r="G345" s="1">
        <v>44176</v>
      </c>
      <c r="H345" s="1">
        <v>43080</v>
      </c>
    </row>
    <row r="346" spans="1:8" x14ac:dyDescent="0.25">
      <c r="A346" t="s">
        <v>334</v>
      </c>
      <c r="B346" t="s">
        <v>150</v>
      </c>
      <c r="C346" t="s">
        <v>360</v>
      </c>
      <c r="D346" t="s">
        <v>337</v>
      </c>
      <c r="E346" s="1">
        <v>40315</v>
      </c>
      <c r="F346" s="2">
        <v>7881000</v>
      </c>
      <c r="G346" s="1">
        <v>40315</v>
      </c>
      <c r="H346" s="1">
        <v>40305</v>
      </c>
    </row>
    <row r="347" spans="1:8" x14ac:dyDescent="0.25">
      <c r="A347" t="s">
        <v>334</v>
      </c>
      <c r="B347" t="s">
        <v>150</v>
      </c>
      <c r="C347" t="s">
        <v>360</v>
      </c>
      <c r="D347" t="s">
        <v>337</v>
      </c>
      <c r="E347" s="1">
        <v>40533</v>
      </c>
      <c r="F347" s="2">
        <v>2414000</v>
      </c>
      <c r="G347" s="1">
        <v>40533</v>
      </c>
      <c r="H347" s="1">
        <v>40305</v>
      </c>
    </row>
    <row r="348" spans="1:8" x14ac:dyDescent="0.25">
      <c r="A348" t="s">
        <v>334</v>
      </c>
      <c r="B348" t="s">
        <v>150</v>
      </c>
      <c r="C348" t="s">
        <v>360</v>
      </c>
      <c r="D348" t="s">
        <v>337</v>
      </c>
      <c r="E348" s="1">
        <v>40689</v>
      </c>
      <c r="F348" s="2">
        <v>2414000</v>
      </c>
      <c r="G348" s="1">
        <v>40689</v>
      </c>
      <c r="H348" s="1">
        <v>40305</v>
      </c>
    </row>
    <row r="349" spans="1:8" x14ac:dyDescent="0.25">
      <c r="A349" t="s">
        <v>334</v>
      </c>
      <c r="B349" t="s">
        <v>150</v>
      </c>
      <c r="C349" t="s">
        <v>360</v>
      </c>
      <c r="D349" t="s">
        <v>337</v>
      </c>
      <c r="E349" s="1">
        <v>40889</v>
      </c>
      <c r="F349" s="2">
        <v>2414000</v>
      </c>
      <c r="G349" s="1">
        <v>40889</v>
      </c>
      <c r="H349" s="1">
        <v>40305</v>
      </c>
    </row>
    <row r="350" spans="1:8" x14ac:dyDescent="0.25">
      <c r="A350" t="s">
        <v>334</v>
      </c>
      <c r="B350" t="s">
        <v>150</v>
      </c>
      <c r="C350" t="s">
        <v>360</v>
      </c>
      <c r="D350" t="s">
        <v>337</v>
      </c>
      <c r="E350" s="1">
        <v>42206</v>
      </c>
      <c r="F350" s="2">
        <v>2840000</v>
      </c>
      <c r="G350" s="1">
        <v>42206</v>
      </c>
      <c r="H350" s="1">
        <v>42195</v>
      </c>
    </row>
    <row r="351" spans="1:8" x14ac:dyDescent="0.25">
      <c r="A351" t="s">
        <v>334</v>
      </c>
      <c r="B351" t="s">
        <v>150</v>
      </c>
      <c r="C351" t="s">
        <v>360</v>
      </c>
      <c r="D351" t="s">
        <v>337</v>
      </c>
      <c r="E351" s="1">
        <v>42716</v>
      </c>
      <c r="F351" s="2">
        <v>5112000</v>
      </c>
      <c r="G351" s="1">
        <v>42716</v>
      </c>
      <c r="H351" s="1">
        <v>42195</v>
      </c>
    </row>
    <row r="352" spans="1:8" x14ac:dyDescent="0.25">
      <c r="A352" t="s">
        <v>334</v>
      </c>
      <c r="B352" t="s">
        <v>150</v>
      </c>
      <c r="C352" t="s">
        <v>360</v>
      </c>
      <c r="D352" t="s">
        <v>337</v>
      </c>
      <c r="E352" s="1">
        <v>42930</v>
      </c>
      <c r="F352" s="2">
        <v>3030000</v>
      </c>
      <c r="G352" s="1">
        <v>42930</v>
      </c>
      <c r="H352" s="1">
        <v>42195</v>
      </c>
    </row>
    <row r="353" spans="1:8" x14ac:dyDescent="0.25">
      <c r="A353" t="s">
        <v>334</v>
      </c>
      <c r="B353" t="s">
        <v>150</v>
      </c>
      <c r="C353" t="s">
        <v>360</v>
      </c>
      <c r="D353" t="s">
        <v>337</v>
      </c>
      <c r="E353" s="1">
        <v>43088</v>
      </c>
      <c r="F353" s="2">
        <v>3030000</v>
      </c>
      <c r="G353" s="1">
        <v>43088</v>
      </c>
      <c r="H353" s="1">
        <v>42195</v>
      </c>
    </row>
    <row r="354" spans="1:8" x14ac:dyDescent="0.25">
      <c r="A354" t="s">
        <v>334</v>
      </c>
      <c r="B354" t="s">
        <v>150</v>
      </c>
      <c r="C354" t="s">
        <v>360</v>
      </c>
      <c r="D354" t="s">
        <v>337</v>
      </c>
      <c r="E354" s="1">
        <v>43262</v>
      </c>
      <c r="F354" s="2">
        <v>3028000</v>
      </c>
      <c r="G354" s="1">
        <v>43262</v>
      </c>
      <c r="H354" s="1">
        <v>42195</v>
      </c>
    </row>
    <row r="355" spans="1:8" x14ac:dyDescent="0.25">
      <c r="A355" t="s">
        <v>334</v>
      </c>
      <c r="B355" t="s">
        <v>150</v>
      </c>
      <c r="C355" t="s">
        <v>360</v>
      </c>
      <c r="D355" t="s">
        <v>337</v>
      </c>
      <c r="E355" s="1">
        <v>44958</v>
      </c>
      <c r="F355" s="2">
        <v>2370000</v>
      </c>
      <c r="G355" s="1">
        <v>44958</v>
      </c>
      <c r="H355" s="1">
        <v>44956</v>
      </c>
    </row>
    <row r="356" spans="1:8" x14ac:dyDescent="0.25">
      <c r="A356" t="s">
        <v>334</v>
      </c>
      <c r="B356" t="s">
        <v>150</v>
      </c>
      <c r="C356" t="s">
        <v>360</v>
      </c>
      <c r="D356" t="s">
        <v>337</v>
      </c>
      <c r="E356" s="1">
        <v>45058</v>
      </c>
      <c r="F356" s="2">
        <v>2370000</v>
      </c>
      <c r="G356" s="1">
        <v>45058</v>
      </c>
      <c r="H356" s="1">
        <v>44956</v>
      </c>
    </row>
    <row r="357" spans="1:8" x14ac:dyDescent="0.25">
      <c r="A357" t="s">
        <v>334</v>
      </c>
      <c r="B357" t="s">
        <v>150</v>
      </c>
      <c r="C357" t="s">
        <v>360</v>
      </c>
      <c r="D357" t="s">
        <v>337</v>
      </c>
      <c r="E357" s="1">
        <v>45170</v>
      </c>
      <c r="F357" s="2">
        <v>2370000</v>
      </c>
      <c r="G357" s="1">
        <v>45170</v>
      </c>
      <c r="H357" s="1">
        <v>44956</v>
      </c>
    </row>
    <row r="358" spans="1:8" x14ac:dyDescent="0.25">
      <c r="A358" t="s">
        <v>334</v>
      </c>
      <c r="B358" t="s">
        <v>150</v>
      </c>
      <c r="C358" t="s">
        <v>360</v>
      </c>
      <c r="D358" t="s">
        <v>337</v>
      </c>
      <c r="E358" s="1">
        <v>45261</v>
      </c>
      <c r="F358" s="2">
        <v>6160000</v>
      </c>
      <c r="G358" s="1">
        <v>45261</v>
      </c>
      <c r="H358" s="1">
        <v>44956</v>
      </c>
    </row>
    <row r="359" spans="1:8" x14ac:dyDescent="0.25">
      <c r="A359" t="s">
        <v>334</v>
      </c>
      <c r="B359" t="s">
        <v>150</v>
      </c>
      <c r="C359" t="s">
        <v>360</v>
      </c>
      <c r="D359" t="s">
        <v>337</v>
      </c>
      <c r="E359" s="1">
        <v>45427</v>
      </c>
      <c r="F359" s="2">
        <v>6170000</v>
      </c>
      <c r="G359" s="1">
        <v>45427</v>
      </c>
      <c r="H359" s="1">
        <v>44956</v>
      </c>
    </row>
    <row r="360" spans="1:8" x14ac:dyDescent="0.25">
      <c r="A360" t="s">
        <v>334</v>
      </c>
      <c r="B360" t="s">
        <v>150</v>
      </c>
      <c r="C360" t="s">
        <v>360</v>
      </c>
      <c r="D360" t="s">
        <v>337</v>
      </c>
      <c r="E360" s="1">
        <v>45534</v>
      </c>
      <c r="F360" s="2">
        <v>5440000</v>
      </c>
      <c r="G360" s="1">
        <v>45534</v>
      </c>
      <c r="H360" s="1">
        <v>44956</v>
      </c>
    </row>
    <row r="361" spans="1:8" x14ac:dyDescent="0.25">
      <c r="A361" t="s">
        <v>334</v>
      </c>
      <c r="B361" t="s">
        <v>150</v>
      </c>
      <c r="C361" t="s">
        <v>360</v>
      </c>
      <c r="D361" t="s">
        <v>337</v>
      </c>
      <c r="E361" s="1">
        <v>45644</v>
      </c>
      <c r="F361" s="2">
        <v>5430000</v>
      </c>
      <c r="G361" s="1">
        <v>45644</v>
      </c>
      <c r="H361" s="1">
        <v>44956</v>
      </c>
    </row>
    <row r="362" spans="1:8" x14ac:dyDescent="0.25">
      <c r="A362" t="s">
        <v>334</v>
      </c>
      <c r="B362" t="s">
        <v>151</v>
      </c>
      <c r="C362" t="s">
        <v>361</v>
      </c>
      <c r="D362" t="s">
        <v>337</v>
      </c>
      <c r="E362" s="1">
        <v>39056</v>
      </c>
      <c r="F362" s="2">
        <v>28100000</v>
      </c>
      <c r="G362" s="1">
        <v>39056</v>
      </c>
      <c r="H362" s="1">
        <v>39041</v>
      </c>
    </row>
    <row r="363" spans="1:8" x14ac:dyDescent="0.25">
      <c r="A363" t="s">
        <v>334</v>
      </c>
      <c r="B363" t="s">
        <v>151</v>
      </c>
      <c r="C363" t="s">
        <v>361</v>
      </c>
      <c r="D363" t="s">
        <v>337</v>
      </c>
      <c r="E363" s="1">
        <v>39293</v>
      </c>
      <c r="F363" s="2">
        <v>7600000</v>
      </c>
      <c r="G363" s="1">
        <v>39293</v>
      </c>
      <c r="H363" s="1">
        <v>39041</v>
      </c>
    </row>
    <row r="364" spans="1:8" x14ac:dyDescent="0.25">
      <c r="A364" t="s">
        <v>334</v>
      </c>
      <c r="B364" t="s">
        <v>151</v>
      </c>
      <c r="C364" t="s">
        <v>361</v>
      </c>
      <c r="D364" t="s">
        <v>337</v>
      </c>
      <c r="E364" s="1">
        <v>39517</v>
      </c>
      <c r="F364" s="2">
        <v>7600000</v>
      </c>
      <c r="G364" s="1">
        <v>39517</v>
      </c>
      <c r="H364" s="1">
        <v>39041</v>
      </c>
    </row>
    <row r="365" spans="1:8" x14ac:dyDescent="0.25">
      <c r="A365" t="s">
        <v>334</v>
      </c>
      <c r="B365" t="s">
        <v>151</v>
      </c>
      <c r="C365" t="s">
        <v>361</v>
      </c>
      <c r="D365" t="s">
        <v>337</v>
      </c>
      <c r="E365" s="1">
        <v>39625</v>
      </c>
      <c r="F365" s="2">
        <v>23980000</v>
      </c>
      <c r="G365" s="1">
        <v>39625</v>
      </c>
      <c r="H365" s="1">
        <v>39041</v>
      </c>
    </row>
    <row r="366" spans="1:8" x14ac:dyDescent="0.25">
      <c r="A366" t="s">
        <v>334</v>
      </c>
      <c r="B366" t="s">
        <v>151</v>
      </c>
      <c r="C366" t="s">
        <v>361</v>
      </c>
      <c r="D366" t="s">
        <v>337</v>
      </c>
      <c r="E366" s="1">
        <v>39870</v>
      </c>
      <c r="F366" s="2">
        <v>23980000</v>
      </c>
      <c r="G366" s="1">
        <v>39870</v>
      </c>
      <c r="H366" s="1">
        <v>39041</v>
      </c>
    </row>
    <row r="367" spans="1:8" x14ac:dyDescent="0.25">
      <c r="A367" t="s">
        <v>334</v>
      </c>
      <c r="B367" t="s">
        <v>151</v>
      </c>
      <c r="C367" t="s">
        <v>361</v>
      </c>
      <c r="D367" t="s">
        <v>337</v>
      </c>
      <c r="E367" s="1">
        <v>40008</v>
      </c>
      <c r="F367" s="2">
        <v>15790000</v>
      </c>
      <c r="G367" s="1">
        <v>40008</v>
      </c>
      <c r="H367" s="1">
        <v>39041</v>
      </c>
    </row>
    <row r="368" spans="1:8" x14ac:dyDescent="0.25">
      <c r="A368" t="s">
        <v>334</v>
      </c>
      <c r="B368" t="s">
        <v>151</v>
      </c>
      <c r="C368" t="s">
        <v>361</v>
      </c>
      <c r="D368" t="s">
        <v>337</v>
      </c>
      <c r="E368" s="1">
        <v>40207</v>
      </c>
      <c r="F368" s="2">
        <v>73130000</v>
      </c>
      <c r="G368" s="1">
        <v>40207</v>
      </c>
      <c r="H368" s="1">
        <v>39041</v>
      </c>
    </row>
    <row r="369" spans="1:8" x14ac:dyDescent="0.25">
      <c r="A369" t="s">
        <v>334</v>
      </c>
      <c r="B369" t="s">
        <v>151</v>
      </c>
      <c r="C369" t="s">
        <v>361</v>
      </c>
      <c r="D369" t="s">
        <v>337</v>
      </c>
      <c r="E369" s="1">
        <v>40392</v>
      </c>
      <c r="F369" s="2">
        <v>8190000</v>
      </c>
      <c r="G369" s="1">
        <v>40392</v>
      </c>
      <c r="H369" s="1">
        <v>40380</v>
      </c>
    </row>
    <row r="370" spans="1:8" x14ac:dyDescent="0.25">
      <c r="A370" t="s">
        <v>334</v>
      </c>
      <c r="B370" t="s">
        <v>151</v>
      </c>
      <c r="C370" t="s">
        <v>361</v>
      </c>
      <c r="D370" t="s">
        <v>337</v>
      </c>
      <c r="E370" s="1">
        <v>40688</v>
      </c>
      <c r="F370" s="2">
        <v>8190000</v>
      </c>
      <c r="G370" s="1">
        <v>40688</v>
      </c>
      <c r="H370" s="1">
        <v>40380</v>
      </c>
    </row>
    <row r="371" spans="1:8" x14ac:dyDescent="0.25">
      <c r="A371" t="s">
        <v>334</v>
      </c>
      <c r="B371" t="s">
        <v>151</v>
      </c>
      <c r="C371" t="s">
        <v>361</v>
      </c>
      <c r="D371" t="s">
        <v>337</v>
      </c>
      <c r="E371" s="1">
        <v>40995</v>
      </c>
      <c r="F371" s="2">
        <v>9828000</v>
      </c>
      <c r="G371" s="1">
        <v>40995</v>
      </c>
      <c r="H371" s="1">
        <v>40380</v>
      </c>
    </row>
    <row r="372" spans="1:8" x14ac:dyDescent="0.25">
      <c r="A372" t="s">
        <v>334</v>
      </c>
      <c r="B372" t="s">
        <v>151</v>
      </c>
      <c r="C372" t="s">
        <v>361</v>
      </c>
      <c r="D372" t="s">
        <v>337</v>
      </c>
      <c r="E372" s="1">
        <v>41121</v>
      </c>
      <c r="F372" s="2">
        <v>4914000</v>
      </c>
      <c r="G372" s="1">
        <v>41121</v>
      </c>
      <c r="H372" s="1">
        <v>40380</v>
      </c>
    </row>
    <row r="373" spans="1:8" x14ac:dyDescent="0.25">
      <c r="A373" t="s">
        <v>334</v>
      </c>
      <c r="B373" t="s">
        <v>151</v>
      </c>
      <c r="C373" t="s">
        <v>361</v>
      </c>
      <c r="D373" t="s">
        <v>337</v>
      </c>
      <c r="E373" s="1">
        <v>41354</v>
      </c>
      <c r="F373" s="2">
        <v>4914000</v>
      </c>
      <c r="G373" s="1">
        <v>41354</v>
      </c>
      <c r="H373" s="1">
        <v>40380</v>
      </c>
    </row>
    <row r="374" spans="1:8" x14ac:dyDescent="0.25">
      <c r="A374" t="s">
        <v>334</v>
      </c>
      <c r="B374" t="s">
        <v>151</v>
      </c>
      <c r="C374" t="s">
        <v>361</v>
      </c>
      <c r="D374" t="s">
        <v>337</v>
      </c>
      <c r="E374" s="1">
        <v>41498</v>
      </c>
      <c r="F374" s="2">
        <v>1638000</v>
      </c>
      <c r="G374" s="1">
        <v>41498</v>
      </c>
      <c r="H374" s="1">
        <v>40380</v>
      </c>
    </row>
    <row r="375" spans="1:8" x14ac:dyDescent="0.25">
      <c r="A375" t="s">
        <v>334</v>
      </c>
      <c r="B375" t="s">
        <v>151</v>
      </c>
      <c r="C375" t="s">
        <v>361</v>
      </c>
      <c r="D375" t="s">
        <v>337</v>
      </c>
      <c r="E375" s="1">
        <v>41732</v>
      </c>
      <c r="F375" s="2">
        <v>1638000</v>
      </c>
      <c r="G375" s="1">
        <v>41732</v>
      </c>
      <c r="H375" s="1">
        <v>40380</v>
      </c>
    </row>
    <row r="376" spans="1:8" x14ac:dyDescent="0.25">
      <c r="A376" t="s">
        <v>334</v>
      </c>
      <c r="B376" t="s">
        <v>151</v>
      </c>
      <c r="C376" t="s">
        <v>361</v>
      </c>
      <c r="D376" t="s">
        <v>337</v>
      </c>
      <c r="E376" s="1">
        <v>41997</v>
      </c>
      <c r="F376" s="2">
        <v>1638000</v>
      </c>
      <c r="G376" s="1">
        <v>41997</v>
      </c>
      <c r="H376" s="1">
        <v>40380</v>
      </c>
    </row>
    <row r="377" spans="1:8" x14ac:dyDescent="0.25">
      <c r="A377" t="s">
        <v>334</v>
      </c>
      <c r="B377" t="s">
        <v>151</v>
      </c>
      <c r="C377" t="s">
        <v>361</v>
      </c>
      <c r="D377" t="s">
        <v>337</v>
      </c>
      <c r="E377" s="1">
        <v>42150</v>
      </c>
      <c r="F377" s="2">
        <v>7020000</v>
      </c>
      <c r="G377" s="1">
        <v>42150</v>
      </c>
      <c r="H377" s="1">
        <v>42142</v>
      </c>
    </row>
    <row r="378" spans="1:8" x14ac:dyDescent="0.25">
      <c r="A378" t="s">
        <v>334</v>
      </c>
      <c r="B378" t="s">
        <v>152</v>
      </c>
      <c r="C378" t="s">
        <v>362</v>
      </c>
      <c r="D378" t="s">
        <v>337</v>
      </c>
      <c r="E378" s="1">
        <v>38457</v>
      </c>
      <c r="F378" s="2">
        <v>10171000</v>
      </c>
      <c r="G378" s="1">
        <v>38457</v>
      </c>
      <c r="H378" s="1">
        <v>38044</v>
      </c>
    </row>
    <row r="379" spans="1:8" x14ac:dyDescent="0.25">
      <c r="A379" t="s">
        <v>334</v>
      </c>
      <c r="B379" t="s">
        <v>152</v>
      </c>
      <c r="C379" t="s">
        <v>362</v>
      </c>
      <c r="D379" t="s">
        <v>337</v>
      </c>
      <c r="E379" s="1">
        <v>38730</v>
      </c>
      <c r="F379" s="2">
        <v>10171000</v>
      </c>
      <c r="G379" s="1">
        <v>38730</v>
      </c>
      <c r="H379" s="1">
        <v>38044</v>
      </c>
    </row>
    <row r="380" spans="1:8" x14ac:dyDescent="0.25">
      <c r="A380" t="s">
        <v>339</v>
      </c>
      <c r="B380" t="s">
        <v>152</v>
      </c>
      <c r="C380" t="s">
        <v>362</v>
      </c>
      <c r="D380" t="s">
        <v>363</v>
      </c>
      <c r="E380" s="1">
        <v>43921</v>
      </c>
      <c r="F380" s="2">
        <v>79936000</v>
      </c>
      <c r="G380" s="1">
        <v>43921</v>
      </c>
      <c r="H380" s="1">
        <v>43661</v>
      </c>
    </row>
    <row r="381" spans="1:8" x14ac:dyDescent="0.25">
      <c r="A381" t="s">
        <v>334</v>
      </c>
      <c r="B381" t="s">
        <v>152</v>
      </c>
      <c r="C381" t="s">
        <v>362</v>
      </c>
      <c r="D381" t="s">
        <v>364</v>
      </c>
      <c r="E381" s="1">
        <v>43921</v>
      </c>
      <c r="F381" s="2">
        <v>24980000</v>
      </c>
      <c r="G381" s="1">
        <v>43921</v>
      </c>
      <c r="H381" s="1">
        <v>43661</v>
      </c>
    </row>
    <row r="382" spans="1:8" x14ac:dyDescent="0.25">
      <c r="A382" t="s">
        <v>339</v>
      </c>
      <c r="B382" t="s">
        <v>152</v>
      </c>
      <c r="C382" t="s">
        <v>362</v>
      </c>
      <c r="D382" t="s">
        <v>363</v>
      </c>
      <c r="E382" s="1">
        <v>43985</v>
      </c>
      <c r="F382" s="2">
        <v>100753000</v>
      </c>
      <c r="G382" s="1">
        <v>43985</v>
      </c>
      <c r="H382" s="1">
        <v>43661</v>
      </c>
    </row>
    <row r="383" spans="1:8" x14ac:dyDescent="0.25">
      <c r="A383" t="s">
        <v>334</v>
      </c>
      <c r="B383" t="s">
        <v>152</v>
      </c>
      <c r="C383" t="s">
        <v>362</v>
      </c>
      <c r="D383" t="s">
        <v>364</v>
      </c>
      <c r="E383" s="1">
        <v>43985</v>
      </c>
      <c r="F383" s="2">
        <v>69111000</v>
      </c>
      <c r="G383" s="1">
        <v>43985</v>
      </c>
      <c r="H383" s="1">
        <v>43661</v>
      </c>
    </row>
    <row r="384" spans="1:8" x14ac:dyDescent="0.25">
      <c r="A384" t="s">
        <v>334</v>
      </c>
      <c r="B384" t="s">
        <v>152</v>
      </c>
      <c r="C384" t="s">
        <v>362</v>
      </c>
      <c r="D384" t="s">
        <v>364</v>
      </c>
      <c r="E384" s="1">
        <v>44181</v>
      </c>
      <c r="F384" s="2">
        <v>19984000</v>
      </c>
      <c r="G384" s="1">
        <v>44181</v>
      </c>
      <c r="H384" s="1">
        <v>43661</v>
      </c>
    </row>
    <row r="385" spans="1:8" x14ac:dyDescent="0.25">
      <c r="A385" t="s">
        <v>339</v>
      </c>
      <c r="B385" t="s">
        <v>152</v>
      </c>
      <c r="C385" t="s">
        <v>362</v>
      </c>
      <c r="D385" t="s">
        <v>363</v>
      </c>
      <c r="E385" s="1">
        <v>44181</v>
      </c>
      <c r="F385" s="2">
        <v>42466000</v>
      </c>
      <c r="G385" s="1">
        <v>44181</v>
      </c>
      <c r="H385" s="1">
        <v>43661</v>
      </c>
    </row>
    <row r="386" spans="1:8" x14ac:dyDescent="0.25">
      <c r="A386" t="s">
        <v>334</v>
      </c>
      <c r="B386" t="s">
        <v>152</v>
      </c>
      <c r="C386" t="s">
        <v>362</v>
      </c>
      <c r="D386" t="s">
        <v>364</v>
      </c>
      <c r="E386" s="1">
        <v>44454</v>
      </c>
      <c r="F386" s="2">
        <v>29143000</v>
      </c>
      <c r="G386" s="1">
        <v>44454</v>
      </c>
      <c r="H386" s="1">
        <v>43661</v>
      </c>
    </row>
    <row r="387" spans="1:8" x14ac:dyDescent="0.25">
      <c r="A387" t="s">
        <v>339</v>
      </c>
      <c r="B387" t="s">
        <v>152</v>
      </c>
      <c r="C387" t="s">
        <v>362</v>
      </c>
      <c r="D387" t="s">
        <v>363</v>
      </c>
      <c r="E387" s="1">
        <v>44455</v>
      </c>
      <c r="F387" s="2">
        <v>58287000</v>
      </c>
      <c r="G387" s="1">
        <v>44455</v>
      </c>
      <c r="H387" s="1">
        <v>43661</v>
      </c>
    </row>
    <row r="388" spans="1:8" x14ac:dyDescent="0.25">
      <c r="A388" t="s">
        <v>339</v>
      </c>
      <c r="B388" t="s">
        <v>152</v>
      </c>
      <c r="C388" t="s">
        <v>362</v>
      </c>
      <c r="D388" t="s">
        <v>340</v>
      </c>
      <c r="E388" s="1">
        <v>45194</v>
      </c>
      <c r="F388" s="2">
        <v>59470000</v>
      </c>
      <c r="G388" s="1">
        <v>45194</v>
      </c>
      <c r="H388" s="1">
        <v>45190</v>
      </c>
    </row>
    <row r="389" spans="1:8" x14ac:dyDescent="0.25">
      <c r="A389" t="s">
        <v>334</v>
      </c>
      <c r="B389" t="s">
        <v>152</v>
      </c>
      <c r="C389" t="s">
        <v>362</v>
      </c>
      <c r="D389" t="s">
        <v>337</v>
      </c>
      <c r="E389" s="1">
        <v>45194</v>
      </c>
      <c r="F389" s="2">
        <v>29740000</v>
      </c>
      <c r="G389" s="1">
        <v>45194</v>
      </c>
      <c r="H389" s="1">
        <v>45190</v>
      </c>
    </row>
    <row r="390" spans="1:8" x14ac:dyDescent="0.25">
      <c r="A390" t="s">
        <v>339</v>
      </c>
      <c r="B390" t="s">
        <v>152</v>
      </c>
      <c r="C390" t="s">
        <v>362</v>
      </c>
      <c r="D390" t="s">
        <v>340</v>
      </c>
      <c r="E390" s="1">
        <v>45636</v>
      </c>
      <c r="F390" s="2">
        <v>99990000</v>
      </c>
      <c r="G390" s="1">
        <v>45636</v>
      </c>
      <c r="H390" s="1">
        <v>45190</v>
      </c>
    </row>
    <row r="391" spans="1:8" x14ac:dyDescent="0.25">
      <c r="A391" t="s">
        <v>334</v>
      </c>
      <c r="B391" t="s">
        <v>152</v>
      </c>
      <c r="C391" t="s">
        <v>362</v>
      </c>
      <c r="D391" t="s">
        <v>337</v>
      </c>
      <c r="E391" s="1">
        <v>45636</v>
      </c>
      <c r="F391" s="2">
        <v>50010000</v>
      </c>
      <c r="G391" s="1">
        <v>45636</v>
      </c>
      <c r="H391" s="1">
        <v>45190</v>
      </c>
    </row>
    <row r="392" spans="1:8" x14ac:dyDescent="0.25">
      <c r="A392" t="s">
        <v>334</v>
      </c>
      <c r="B392" t="s">
        <v>153</v>
      </c>
      <c r="C392" t="s">
        <v>365</v>
      </c>
      <c r="D392" t="s">
        <v>337</v>
      </c>
      <c r="E392" s="1">
        <v>38363</v>
      </c>
      <c r="F392" s="2">
        <v>50000000</v>
      </c>
      <c r="G392" s="1">
        <v>38363</v>
      </c>
      <c r="H392" s="1">
        <v>37946</v>
      </c>
    </row>
    <row r="393" spans="1:8" x14ac:dyDescent="0.25">
      <c r="A393" t="s">
        <v>334</v>
      </c>
      <c r="B393" t="s">
        <v>153</v>
      </c>
      <c r="C393" t="s">
        <v>365</v>
      </c>
      <c r="D393" t="s">
        <v>337</v>
      </c>
      <c r="E393" s="1">
        <v>39198</v>
      </c>
      <c r="F393" s="2">
        <v>37500000</v>
      </c>
      <c r="G393" s="1">
        <v>39198</v>
      </c>
      <c r="H393" s="1">
        <v>37946</v>
      </c>
    </row>
    <row r="394" spans="1:8" x14ac:dyDescent="0.25">
      <c r="A394" t="s">
        <v>334</v>
      </c>
      <c r="B394" t="s">
        <v>153</v>
      </c>
      <c r="C394" t="s">
        <v>365</v>
      </c>
      <c r="D394" t="s">
        <v>337</v>
      </c>
      <c r="E394" s="1">
        <v>39406</v>
      </c>
      <c r="F394" s="2">
        <v>37500000</v>
      </c>
      <c r="G394" s="1">
        <v>39406</v>
      </c>
      <c r="H394" s="1">
        <v>37946</v>
      </c>
    </row>
    <row r="395" spans="1:8" x14ac:dyDescent="0.25">
      <c r="A395" t="s">
        <v>334</v>
      </c>
      <c r="B395" t="s">
        <v>153</v>
      </c>
      <c r="C395" t="s">
        <v>365</v>
      </c>
      <c r="D395" t="s">
        <v>337</v>
      </c>
      <c r="E395" s="1">
        <v>40589</v>
      </c>
      <c r="F395" s="2">
        <v>65136000</v>
      </c>
      <c r="G395" s="1">
        <v>40589</v>
      </c>
      <c r="H395" s="1">
        <v>40574</v>
      </c>
    </row>
    <row r="396" spans="1:8" x14ac:dyDescent="0.25">
      <c r="A396" t="s">
        <v>334</v>
      </c>
      <c r="B396" t="s">
        <v>153</v>
      </c>
      <c r="C396" t="s">
        <v>365</v>
      </c>
      <c r="D396" t="s">
        <v>337</v>
      </c>
      <c r="E396" s="1">
        <v>40731</v>
      </c>
      <c r="F396" s="2">
        <v>43424000</v>
      </c>
      <c r="G396" s="1">
        <v>40731</v>
      </c>
      <c r="H396" s="1">
        <v>40574</v>
      </c>
    </row>
    <row r="397" spans="1:8" x14ac:dyDescent="0.25">
      <c r="A397" t="s">
        <v>334</v>
      </c>
      <c r="B397" t="s">
        <v>153</v>
      </c>
      <c r="C397" t="s">
        <v>365</v>
      </c>
      <c r="D397" t="s">
        <v>337</v>
      </c>
      <c r="E397" s="1">
        <v>40896</v>
      </c>
      <c r="F397" s="2">
        <v>92276000</v>
      </c>
      <c r="G397" s="1">
        <v>40896</v>
      </c>
      <c r="H397" s="1">
        <v>40574</v>
      </c>
    </row>
    <row r="398" spans="1:8" x14ac:dyDescent="0.25">
      <c r="A398" t="s">
        <v>334</v>
      </c>
      <c r="B398" t="s">
        <v>153</v>
      </c>
      <c r="C398" t="s">
        <v>365</v>
      </c>
      <c r="D398" t="s">
        <v>337</v>
      </c>
      <c r="E398" s="1">
        <v>41022</v>
      </c>
      <c r="F398" s="2">
        <v>71921000</v>
      </c>
      <c r="G398" s="1">
        <v>41022</v>
      </c>
      <c r="H398" s="1">
        <v>40574</v>
      </c>
    </row>
    <row r="399" spans="1:8" x14ac:dyDescent="0.25">
      <c r="A399" t="s">
        <v>334</v>
      </c>
      <c r="B399" t="s">
        <v>153</v>
      </c>
      <c r="C399" t="s">
        <v>365</v>
      </c>
      <c r="D399" t="s">
        <v>337</v>
      </c>
      <c r="E399" s="1">
        <v>41214</v>
      </c>
      <c r="F399" s="2">
        <v>71921000</v>
      </c>
      <c r="G399" s="1">
        <v>41214</v>
      </c>
      <c r="H399" s="1">
        <v>40574</v>
      </c>
    </row>
    <row r="400" spans="1:8" x14ac:dyDescent="0.25">
      <c r="A400" t="s">
        <v>334</v>
      </c>
      <c r="B400" t="s">
        <v>153</v>
      </c>
      <c r="C400" t="s">
        <v>365</v>
      </c>
      <c r="D400" t="s">
        <v>337</v>
      </c>
      <c r="E400" s="1">
        <v>41388</v>
      </c>
      <c r="F400" s="2">
        <v>71921000</v>
      </c>
      <c r="G400" s="1">
        <v>41388</v>
      </c>
      <c r="H400" s="1">
        <v>40574</v>
      </c>
    </row>
    <row r="401" spans="1:8" x14ac:dyDescent="0.25">
      <c r="A401" t="s">
        <v>334</v>
      </c>
      <c r="B401" t="s">
        <v>153</v>
      </c>
      <c r="C401" t="s">
        <v>365</v>
      </c>
      <c r="D401" t="s">
        <v>337</v>
      </c>
      <c r="E401" s="1">
        <v>41624</v>
      </c>
      <c r="F401" s="2">
        <v>16537251</v>
      </c>
      <c r="G401" s="1">
        <v>41624</v>
      </c>
      <c r="H401" s="1">
        <v>40574</v>
      </c>
    </row>
    <row r="402" spans="1:8" x14ac:dyDescent="0.25">
      <c r="A402" t="s">
        <v>334</v>
      </c>
      <c r="B402" t="s">
        <v>153</v>
      </c>
      <c r="C402" t="s">
        <v>365</v>
      </c>
      <c r="D402" t="s">
        <v>337</v>
      </c>
      <c r="E402" s="1">
        <v>41627</v>
      </c>
      <c r="F402" s="2">
        <v>55383749</v>
      </c>
      <c r="G402" s="1">
        <v>41627</v>
      </c>
      <c r="H402" s="1">
        <v>40574</v>
      </c>
    </row>
    <row r="403" spans="1:8" x14ac:dyDescent="0.25">
      <c r="A403" t="s">
        <v>339</v>
      </c>
      <c r="B403" t="s">
        <v>153</v>
      </c>
      <c r="C403" t="s">
        <v>365</v>
      </c>
      <c r="D403" t="s">
        <v>340</v>
      </c>
      <c r="E403" s="1">
        <v>44292</v>
      </c>
      <c r="F403" s="2">
        <v>141130000</v>
      </c>
      <c r="G403" s="1">
        <v>44292</v>
      </c>
      <c r="H403" s="1">
        <v>44288</v>
      </c>
    </row>
    <row r="404" spans="1:8" x14ac:dyDescent="0.25">
      <c r="A404" t="s">
        <v>334</v>
      </c>
      <c r="B404" t="s">
        <v>153</v>
      </c>
      <c r="C404" t="s">
        <v>365</v>
      </c>
      <c r="D404" t="s">
        <v>337</v>
      </c>
      <c r="E404" s="1">
        <v>44294</v>
      </c>
      <c r="F404" s="2">
        <v>75990000</v>
      </c>
      <c r="G404" s="1">
        <v>44294</v>
      </c>
      <c r="H404" s="1">
        <v>44288</v>
      </c>
    </row>
    <row r="405" spans="1:8" x14ac:dyDescent="0.25">
      <c r="A405" t="s">
        <v>339</v>
      </c>
      <c r="B405" t="s">
        <v>153</v>
      </c>
      <c r="C405" t="s">
        <v>365</v>
      </c>
      <c r="D405" t="s">
        <v>340</v>
      </c>
      <c r="E405" s="1">
        <v>44372</v>
      </c>
      <c r="F405" s="2">
        <v>198120000</v>
      </c>
      <c r="G405" s="1">
        <v>44372</v>
      </c>
      <c r="H405" s="1">
        <v>44288</v>
      </c>
    </row>
    <row r="406" spans="1:8" x14ac:dyDescent="0.25">
      <c r="A406" t="s">
        <v>334</v>
      </c>
      <c r="B406" t="s">
        <v>153</v>
      </c>
      <c r="C406" t="s">
        <v>365</v>
      </c>
      <c r="D406" t="s">
        <v>337</v>
      </c>
      <c r="E406" s="1">
        <v>44372</v>
      </c>
      <c r="F406" s="2">
        <v>86850000</v>
      </c>
      <c r="G406" s="1">
        <v>44372</v>
      </c>
      <c r="H406" s="1">
        <v>44288</v>
      </c>
    </row>
    <row r="407" spans="1:8" x14ac:dyDescent="0.25">
      <c r="A407" t="s">
        <v>339</v>
      </c>
      <c r="B407" t="s">
        <v>153</v>
      </c>
      <c r="C407" t="s">
        <v>365</v>
      </c>
      <c r="D407" t="s">
        <v>340</v>
      </c>
      <c r="E407" s="1">
        <v>44551</v>
      </c>
      <c r="F407" s="2">
        <v>135700000</v>
      </c>
      <c r="G407" s="1">
        <v>44551</v>
      </c>
      <c r="H407" s="1">
        <v>44288</v>
      </c>
    </row>
    <row r="408" spans="1:8" x14ac:dyDescent="0.25">
      <c r="A408" t="s">
        <v>334</v>
      </c>
      <c r="B408" t="s">
        <v>153</v>
      </c>
      <c r="C408" t="s">
        <v>365</v>
      </c>
      <c r="D408" t="s">
        <v>337</v>
      </c>
      <c r="E408" s="1">
        <v>44551</v>
      </c>
      <c r="F408" s="2">
        <v>48850000</v>
      </c>
      <c r="G408" s="1">
        <v>44551</v>
      </c>
      <c r="H408" s="1">
        <v>44288</v>
      </c>
    </row>
    <row r="409" spans="1:8" x14ac:dyDescent="0.25">
      <c r="A409" t="s">
        <v>339</v>
      </c>
      <c r="B409" t="s">
        <v>153</v>
      </c>
      <c r="C409" t="s">
        <v>365</v>
      </c>
      <c r="D409" t="s">
        <v>340</v>
      </c>
      <c r="E409" s="1">
        <v>44762</v>
      </c>
      <c r="F409" s="2">
        <v>141130000</v>
      </c>
      <c r="G409" s="1">
        <v>44762</v>
      </c>
      <c r="H409" s="1">
        <v>44288</v>
      </c>
    </row>
    <row r="410" spans="1:8" x14ac:dyDescent="0.25">
      <c r="A410" t="s">
        <v>334</v>
      </c>
      <c r="B410" t="s">
        <v>153</v>
      </c>
      <c r="C410" t="s">
        <v>365</v>
      </c>
      <c r="D410" t="s">
        <v>337</v>
      </c>
      <c r="E410" s="1">
        <v>44762</v>
      </c>
      <c r="F410" s="2">
        <v>38000000</v>
      </c>
      <c r="G410" s="1">
        <v>44762</v>
      </c>
      <c r="H410" s="1">
        <v>44288</v>
      </c>
    </row>
    <row r="411" spans="1:8" x14ac:dyDescent="0.25">
      <c r="A411" t="s">
        <v>339</v>
      </c>
      <c r="B411" t="s">
        <v>153</v>
      </c>
      <c r="C411" t="s">
        <v>365</v>
      </c>
      <c r="D411" t="s">
        <v>340</v>
      </c>
      <c r="E411" s="1">
        <v>44916</v>
      </c>
      <c r="F411" s="2">
        <v>135700000</v>
      </c>
      <c r="G411" s="1">
        <v>44916</v>
      </c>
      <c r="H411" s="1">
        <v>44288</v>
      </c>
    </row>
    <row r="412" spans="1:8" x14ac:dyDescent="0.25">
      <c r="A412" t="s">
        <v>334</v>
      </c>
      <c r="B412" t="s">
        <v>153</v>
      </c>
      <c r="C412" t="s">
        <v>365</v>
      </c>
      <c r="D412" t="s">
        <v>337</v>
      </c>
      <c r="E412" s="1">
        <v>44916</v>
      </c>
      <c r="F412" s="2">
        <v>200840000</v>
      </c>
      <c r="G412" s="1">
        <v>44916</v>
      </c>
      <c r="H412" s="1">
        <v>44288</v>
      </c>
    </row>
    <row r="413" spans="1:8" x14ac:dyDescent="0.25">
      <c r="A413" t="s">
        <v>339</v>
      </c>
      <c r="B413" t="s">
        <v>153</v>
      </c>
      <c r="C413" t="s">
        <v>365</v>
      </c>
      <c r="D413" t="s">
        <v>340</v>
      </c>
      <c r="E413" s="1">
        <v>45126</v>
      </c>
      <c r="F413" s="2">
        <v>229060000</v>
      </c>
      <c r="G413" s="1">
        <v>45126</v>
      </c>
      <c r="H413" s="1">
        <v>44288</v>
      </c>
    </row>
    <row r="414" spans="1:8" x14ac:dyDescent="0.25">
      <c r="A414" t="s">
        <v>334</v>
      </c>
      <c r="B414" t="s">
        <v>153</v>
      </c>
      <c r="C414" t="s">
        <v>365</v>
      </c>
      <c r="D414" t="s">
        <v>337</v>
      </c>
      <c r="E414" s="1">
        <v>45126</v>
      </c>
      <c r="F414" s="2">
        <v>77620000</v>
      </c>
      <c r="G414" s="1">
        <v>45126</v>
      </c>
      <c r="H414" s="1">
        <v>44288</v>
      </c>
    </row>
    <row r="415" spans="1:8" x14ac:dyDescent="0.25">
      <c r="A415" t="s">
        <v>334</v>
      </c>
      <c r="B415" t="s">
        <v>153</v>
      </c>
      <c r="C415" t="s">
        <v>365</v>
      </c>
      <c r="D415" t="s">
        <v>337</v>
      </c>
      <c r="E415" s="1">
        <v>45310</v>
      </c>
      <c r="F415" s="2">
        <v>108830000</v>
      </c>
      <c r="G415" s="1">
        <v>45310</v>
      </c>
      <c r="H415" s="1">
        <v>44288</v>
      </c>
    </row>
    <row r="416" spans="1:8" x14ac:dyDescent="0.25">
      <c r="A416" t="s">
        <v>339</v>
      </c>
      <c r="B416" t="s">
        <v>153</v>
      </c>
      <c r="C416" t="s">
        <v>365</v>
      </c>
      <c r="D416" t="s">
        <v>340</v>
      </c>
      <c r="E416" s="1">
        <v>45310</v>
      </c>
      <c r="F416" s="2">
        <v>360410000</v>
      </c>
      <c r="G416" s="1">
        <v>45310</v>
      </c>
      <c r="H416" s="1">
        <v>44288</v>
      </c>
    </row>
    <row r="417" spans="1:8" x14ac:dyDescent="0.25">
      <c r="A417" t="s">
        <v>339</v>
      </c>
      <c r="B417" t="s">
        <v>153</v>
      </c>
      <c r="C417" t="s">
        <v>365</v>
      </c>
      <c r="D417" t="s">
        <v>340</v>
      </c>
      <c r="E417" s="1">
        <v>45597</v>
      </c>
      <c r="F417" s="2">
        <v>177900000</v>
      </c>
      <c r="G417" s="1">
        <v>45597</v>
      </c>
      <c r="H417" s="1">
        <v>44288</v>
      </c>
    </row>
    <row r="418" spans="1:8" x14ac:dyDescent="0.25">
      <c r="A418" t="s">
        <v>334</v>
      </c>
      <c r="B418" t="s">
        <v>153</v>
      </c>
      <c r="C418" t="s">
        <v>365</v>
      </c>
      <c r="D418" t="s">
        <v>337</v>
      </c>
      <c r="E418" s="1">
        <v>45597</v>
      </c>
      <c r="F418" s="2">
        <v>187380000</v>
      </c>
      <c r="G418" s="1">
        <v>45597</v>
      </c>
      <c r="H418" s="1">
        <v>44288</v>
      </c>
    </row>
    <row r="419" spans="1:8" x14ac:dyDescent="0.25">
      <c r="A419" t="s">
        <v>334</v>
      </c>
      <c r="B419" t="s">
        <v>157</v>
      </c>
      <c r="C419" t="s">
        <v>366</v>
      </c>
      <c r="D419" t="s">
        <v>337</v>
      </c>
      <c r="E419" s="1">
        <v>38412</v>
      </c>
      <c r="F419" s="2">
        <v>9560000</v>
      </c>
      <c r="G419" s="1">
        <v>38412</v>
      </c>
      <c r="H419" s="1">
        <v>37231</v>
      </c>
    </row>
    <row r="420" spans="1:8" x14ac:dyDescent="0.25">
      <c r="A420" t="s">
        <v>334</v>
      </c>
      <c r="B420" t="s">
        <v>157</v>
      </c>
      <c r="C420" t="s">
        <v>366</v>
      </c>
      <c r="D420" t="s">
        <v>337</v>
      </c>
      <c r="E420" s="1">
        <v>38433</v>
      </c>
      <c r="F420" s="2">
        <v>1260000</v>
      </c>
      <c r="G420" s="1">
        <v>38433</v>
      </c>
      <c r="H420" s="1">
        <v>38426</v>
      </c>
    </row>
    <row r="421" spans="1:8" x14ac:dyDescent="0.25">
      <c r="A421" t="s">
        <v>334</v>
      </c>
      <c r="B421" t="s">
        <v>157</v>
      </c>
      <c r="C421" t="s">
        <v>366</v>
      </c>
      <c r="D421" t="s">
        <v>337</v>
      </c>
      <c r="E421" s="1">
        <v>38657</v>
      </c>
      <c r="F421" s="2">
        <v>1270000</v>
      </c>
      <c r="G421" s="1">
        <v>38657</v>
      </c>
      <c r="H421" s="1">
        <v>38426</v>
      </c>
    </row>
    <row r="422" spans="1:8" x14ac:dyDescent="0.25">
      <c r="A422" t="s">
        <v>334</v>
      </c>
      <c r="B422" t="s">
        <v>157</v>
      </c>
      <c r="C422" t="s">
        <v>366</v>
      </c>
      <c r="D422" t="s">
        <v>337</v>
      </c>
      <c r="E422" s="1">
        <v>38847</v>
      </c>
      <c r="F422" s="2">
        <v>1270000</v>
      </c>
      <c r="G422" s="1">
        <v>38847</v>
      </c>
      <c r="H422" s="1">
        <v>38426</v>
      </c>
    </row>
    <row r="423" spans="1:8" x14ac:dyDescent="0.25">
      <c r="A423" t="s">
        <v>334</v>
      </c>
      <c r="B423" t="s">
        <v>157</v>
      </c>
      <c r="C423" t="s">
        <v>366</v>
      </c>
      <c r="D423" t="s">
        <v>337</v>
      </c>
      <c r="E423" s="1">
        <v>39038</v>
      </c>
      <c r="F423" s="2">
        <v>1270000</v>
      </c>
      <c r="G423" s="1">
        <v>39038</v>
      </c>
      <c r="H423" s="1">
        <v>38426</v>
      </c>
    </row>
    <row r="424" spans="1:8" x14ac:dyDescent="0.25">
      <c r="A424" t="s">
        <v>334</v>
      </c>
      <c r="B424" t="s">
        <v>157</v>
      </c>
      <c r="C424" t="s">
        <v>366</v>
      </c>
      <c r="D424" t="s">
        <v>337</v>
      </c>
      <c r="E424" s="1">
        <v>39227</v>
      </c>
      <c r="F424" s="2">
        <v>1270000</v>
      </c>
      <c r="G424" s="1">
        <v>39227</v>
      </c>
      <c r="H424" s="1">
        <v>38426</v>
      </c>
    </row>
    <row r="425" spans="1:8" x14ac:dyDescent="0.25">
      <c r="A425" t="s">
        <v>334</v>
      </c>
      <c r="B425" t="s">
        <v>157</v>
      </c>
      <c r="C425" t="s">
        <v>366</v>
      </c>
      <c r="D425" t="s">
        <v>337</v>
      </c>
      <c r="E425" s="1">
        <v>39414</v>
      </c>
      <c r="F425" s="2">
        <v>1270000</v>
      </c>
      <c r="G425" s="1">
        <v>39414</v>
      </c>
      <c r="H425" s="1">
        <v>38426</v>
      </c>
    </row>
    <row r="426" spans="1:8" x14ac:dyDescent="0.25">
      <c r="A426" t="s">
        <v>334</v>
      </c>
      <c r="B426" t="s">
        <v>157</v>
      </c>
      <c r="C426" t="s">
        <v>366</v>
      </c>
      <c r="D426" t="s">
        <v>337</v>
      </c>
      <c r="E426" s="1">
        <v>39598</v>
      </c>
      <c r="F426" s="2">
        <v>10150000</v>
      </c>
      <c r="G426" s="1">
        <v>39598</v>
      </c>
      <c r="H426" s="1">
        <v>38426</v>
      </c>
    </row>
    <row r="427" spans="1:8" x14ac:dyDescent="0.25">
      <c r="A427" t="s">
        <v>334</v>
      </c>
      <c r="B427" t="s">
        <v>157</v>
      </c>
      <c r="C427" t="s">
        <v>366</v>
      </c>
      <c r="D427" t="s">
        <v>337</v>
      </c>
      <c r="E427" s="1">
        <v>40722</v>
      </c>
      <c r="F427" s="2">
        <v>9514000</v>
      </c>
      <c r="G427" s="1">
        <v>40722</v>
      </c>
      <c r="H427" s="1">
        <v>40714</v>
      </c>
    </row>
    <row r="428" spans="1:8" x14ac:dyDescent="0.25">
      <c r="A428" t="s">
        <v>334</v>
      </c>
      <c r="B428" t="s">
        <v>157</v>
      </c>
      <c r="C428" t="s">
        <v>366</v>
      </c>
      <c r="D428" t="s">
        <v>337</v>
      </c>
      <c r="E428" s="1">
        <v>40896</v>
      </c>
      <c r="F428" s="2">
        <v>9514000</v>
      </c>
      <c r="G428" s="1">
        <v>40896</v>
      </c>
      <c r="H428" s="1">
        <v>40714</v>
      </c>
    </row>
    <row r="429" spans="1:8" x14ac:dyDescent="0.25">
      <c r="A429" t="s">
        <v>334</v>
      </c>
      <c r="B429" t="s">
        <v>157</v>
      </c>
      <c r="C429" t="s">
        <v>366</v>
      </c>
      <c r="D429" t="s">
        <v>337</v>
      </c>
      <c r="E429" s="1">
        <v>41038</v>
      </c>
      <c r="F429" s="2">
        <v>9514000</v>
      </c>
      <c r="G429" s="1">
        <v>41038</v>
      </c>
      <c r="H429" s="1">
        <v>40714</v>
      </c>
    </row>
    <row r="430" spans="1:8" x14ac:dyDescent="0.25">
      <c r="A430" t="s">
        <v>334</v>
      </c>
      <c r="B430" t="s">
        <v>157</v>
      </c>
      <c r="C430" t="s">
        <v>366</v>
      </c>
      <c r="D430" t="s">
        <v>337</v>
      </c>
      <c r="E430" s="1">
        <v>41254</v>
      </c>
      <c r="F430" s="2">
        <v>9514000</v>
      </c>
      <c r="G430" s="1">
        <v>41254</v>
      </c>
      <c r="H430" s="1">
        <v>40714</v>
      </c>
    </row>
    <row r="431" spans="1:8" x14ac:dyDescent="0.25">
      <c r="A431" t="s">
        <v>334</v>
      </c>
      <c r="B431" t="s">
        <v>157</v>
      </c>
      <c r="C431" t="s">
        <v>366</v>
      </c>
      <c r="D431" t="s">
        <v>337</v>
      </c>
      <c r="E431" s="1">
        <v>41446</v>
      </c>
      <c r="F431" s="2">
        <v>9514000</v>
      </c>
      <c r="G431" s="1">
        <v>41446</v>
      </c>
      <c r="H431" s="1">
        <v>40714</v>
      </c>
    </row>
    <row r="432" spans="1:8" x14ac:dyDescent="0.25">
      <c r="A432" t="s">
        <v>334</v>
      </c>
      <c r="B432" t="s">
        <v>157</v>
      </c>
      <c r="C432" t="s">
        <v>366</v>
      </c>
      <c r="D432" t="s">
        <v>337</v>
      </c>
      <c r="E432" s="1">
        <v>41620</v>
      </c>
      <c r="F432" s="2">
        <v>9514000</v>
      </c>
      <c r="G432" s="1">
        <v>41620</v>
      </c>
      <c r="H432" s="1">
        <v>40714</v>
      </c>
    </row>
    <row r="433" spans="1:8" x14ac:dyDescent="0.25">
      <c r="A433" t="s">
        <v>334</v>
      </c>
      <c r="B433" t="s">
        <v>157</v>
      </c>
      <c r="C433" t="s">
        <v>366</v>
      </c>
      <c r="D433" t="s">
        <v>337</v>
      </c>
      <c r="E433" s="1">
        <v>41827</v>
      </c>
      <c r="F433" s="2">
        <v>9516000</v>
      </c>
      <c r="G433" s="1">
        <v>41827</v>
      </c>
      <c r="H433" s="1">
        <v>40714</v>
      </c>
    </row>
    <row r="434" spans="1:8" x14ac:dyDescent="0.25">
      <c r="A434" t="s">
        <v>334</v>
      </c>
      <c r="B434" t="s">
        <v>157</v>
      </c>
      <c r="C434" t="s">
        <v>366</v>
      </c>
      <c r="D434" t="s">
        <v>337</v>
      </c>
      <c r="E434" s="1">
        <v>42110</v>
      </c>
      <c r="F434" s="2">
        <v>9514000</v>
      </c>
      <c r="G434" s="1">
        <v>42110</v>
      </c>
      <c r="H434" s="1">
        <v>42102</v>
      </c>
    </row>
    <row r="435" spans="1:8" x14ac:dyDescent="0.25">
      <c r="A435" t="s">
        <v>334</v>
      </c>
      <c r="B435" t="s">
        <v>157</v>
      </c>
      <c r="C435" t="s">
        <v>366</v>
      </c>
      <c r="D435" t="s">
        <v>337</v>
      </c>
      <c r="E435" s="1">
        <v>42352</v>
      </c>
      <c r="F435" s="2">
        <v>9514000</v>
      </c>
      <c r="G435" s="1">
        <v>42352</v>
      </c>
      <c r="H435" s="1">
        <v>42102</v>
      </c>
    </row>
    <row r="436" spans="1:8" x14ac:dyDescent="0.25">
      <c r="A436" t="s">
        <v>334</v>
      </c>
      <c r="B436" t="s">
        <v>157</v>
      </c>
      <c r="C436" t="s">
        <v>366</v>
      </c>
      <c r="D436" t="s">
        <v>337</v>
      </c>
      <c r="E436" s="1">
        <v>42549</v>
      </c>
      <c r="F436" s="2">
        <v>9514000</v>
      </c>
      <c r="G436" s="1">
        <v>42549</v>
      </c>
      <c r="H436" s="1">
        <v>42102</v>
      </c>
    </row>
    <row r="437" spans="1:8" x14ac:dyDescent="0.25">
      <c r="A437" t="s">
        <v>334</v>
      </c>
      <c r="B437" t="s">
        <v>157</v>
      </c>
      <c r="C437" t="s">
        <v>366</v>
      </c>
      <c r="D437" t="s">
        <v>337</v>
      </c>
      <c r="E437" s="1">
        <v>42726</v>
      </c>
      <c r="F437" s="2">
        <v>9514000</v>
      </c>
      <c r="G437" s="1">
        <v>42726</v>
      </c>
      <c r="H437" s="1">
        <v>42102</v>
      </c>
    </row>
    <row r="438" spans="1:8" x14ac:dyDescent="0.25">
      <c r="A438" t="s">
        <v>334</v>
      </c>
      <c r="B438" t="s">
        <v>157</v>
      </c>
      <c r="C438" t="s">
        <v>366</v>
      </c>
      <c r="D438" t="s">
        <v>337</v>
      </c>
      <c r="E438" s="1">
        <v>43096</v>
      </c>
      <c r="F438" s="2">
        <v>19028000</v>
      </c>
      <c r="G438" s="1">
        <v>43096</v>
      </c>
      <c r="H438" s="1">
        <v>42102</v>
      </c>
    </row>
    <row r="439" spans="1:8" x14ac:dyDescent="0.25">
      <c r="A439" t="s">
        <v>334</v>
      </c>
      <c r="B439" t="s">
        <v>160</v>
      </c>
      <c r="C439" t="s">
        <v>367</v>
      </c>
      <c r="D439" t="s">
        <v>337</v>
      </c>
      <c r="E439" s="1">
        <v>40338</v>
      </c>
      <c r="F439" s="2">
        <v>7800000</v>
      </c>
      <c r="G439" s="1">
        <v>40338</v>
      </c>
      <c r="H439" s="1">
        <v>40331</v>
      </c>
    </row>
    <row r="440" spans="1:8" x14ac:dyDescent="0.25">
      <c r="A440" t="s">
        <v>334</v>
      </c>
      <c r="B440" t="s">
        <v>160</v>
      </c>
      <c r="C440" t="s">
        <v>367</v>
      </c>
      <c r="D440" t="s">
        <v>337</v>
      </c>
      <c r="E440" s="1">
        <v>40640</v>
      </c>
      <c r="F440" s="2">
        <v>5680000</v>
      </c>
      <c r="G440" s="1">
        <v>40640</v>
      </c>
      <c r="H440" s="1">
        <v>40331</v>
      </c>
    </row>
    <row r="441" spans="1:8" x14ac:dyDescent="0.25">
      <c r="A441" t="s">
        <v>334</v>
      </c>
      <c r="B441" t="s">
        <v>160</v>
      </c>
      <c r="C441" t="s">
        <v>367</v>
      </c>
      <c r="D441" t="s">
        <v>337</v>
      </c>
      <c r="E441" s="1">
        <v>41016</v>
      </c>
      <c r="F441" s="2">
        <v>20085000</v>
      </c>
      <c r="G441" s="1">
        <v>41016</v>
      </c>
      <c r="H441" s="1">
        <v>40331</v>
      </c>
    </row>
    <row r="442" spans="1:8" x14ac:dyDescent="0.25">
      <c r="A442" t="s">
        <v>334</v>
      </c>
      <c r="B442" t="s">
        <v>160</v>
      </c>
      <c r="C442" t="s">
        <v>367</v>
      </c>
      <c r="D442" t="s">
        <v>337</v>
      </c>
      <c r="E442" s="1">
        <v>41249</v>
      </c>
      <c r="F442" s="2">
        <v>5680000</v>
      </c>
      <c r="G442" s="1">
        <v>41249</v>
      </c>
      <c r="H442" s="1">
        <v>40331</v>
      </c>
    </row>
    <row r="443" spans="1:8" x14ac:dyDescent="0.25">
      <c r="A443" t="s">
        <v>334</v>
      </c>
      <c r="B443" t="s">
        <v>160</v>
      </c>
      <c r="C443" t="s">
        <v>367</v>
      </c>
      <c r="D443" t="s">
        <v>337</v>
      </c>
      <c r="E443" s="1">
        <v>41411</v>
      </c>
      <c r="F443" s="2">
        <v>5680000</v>
      </c>
      <c r="G443" s="1">
        <v>41411</v>
      </c>
      <c r="H443" s="1">
        <v>40331</v>
      </c>
    </row>
    <row r="444" spans="1:8" x14ac:dyDescent="0.25">
      <c r="A444" t="s">
        <v>334</v>
      </c>
      <c r="B444" t="s">
        <v>160</v>
      </c>
      <c r="C444" t="s">
        <v>367</v>
      </c>
      <c r="D444" t="s">
        <v>337</v>
      </c>
      <c r="E444" s="1">
        <v>41534</v>
      </c>
      <c r="F444" s="2">
        <v>5680000</v>
      </c>
      <c r="G444" s="1">
        <v>41534</v>
      </c>
      <c r="H444" s="1">
        <v>40331</v>
      </c>
    </row>
    <row r="445" spans="1:8" x14ac:dyDescent="0.25">
      <c r="A445" t="s">
        <v>339</v>
      </c>
      <c r="B445" t="s">
        <v>161</v>
      </c>
      <c r="C445" t="s">
        <v>368</v>
      </c>
      <c r="D445" t="s">
        <v>340</v>
      </c>
      <c r="E445" s="1">
        <v>39521</v>
      </c>
      <c r="F445" s="2">
        <v>342768309</v>
      </c>
      <c r="G445" s="1">
        <v>39521</v>
      </c>
      <c r="H445" s="1">
        <v>39521</v>
      </c>
    </row>
    <row r="446" spans="1:8" x14ac:dyDescent="0.25">
      <c r="A446" t="s">
        <v>334</v>
      </c>
      <c r="B446" t="s">
        <v>161</v>
      </c>
      <c r="C446" t="s">
        <v>368</v>
      </c>
      <c r="D446" t="s">
        <v>337</v>
      </c>
      <c r="E446" s="1">
        <v>39521</v>
      </c>
      <c r="F446" s="2">
        <v>207260000</v>
      </c>
      <c r="G446" s="1">
        <v>39521</v>
      </c>
      <c r="H446" s="1">
        <v>39521</v>
      </c>
    </row>
    <row r="447" spans="1:8" x14ac:dyDescent="0.25">
      <c r="A447" t="s">
        <v>334</v>
      </c>
      <c r="B447" t="s">
        <v>161</v>
      </c>
      <c r="C447" t="s">
        <v>368</v>
      </c>
      <c r="D447" t="s">
        <v>337</v>
      </c>
      <c r="E447" s="1">
        <v>39811</v>
      </c>
      <c r="F447" s="2">
        <v>7000000</v>
      </c>
      <c r="G447" s="1">
        <v>39811</v>
      </c>
      <c r="H447" s="1">
        <v>39521</v>
      </c>
    </row>
    <row r="448" spans="1:8" x14ac:dyDescent="0.25">
      <c r="A448" t="s">
        <v>334</v>
      </c>
      <c r="B448" t="s">
        <v>161</v>
      </c>
      <c r="C448" t="s">
        <v>368</v>
      </c>
      <c r="D448" t="s">
        <v>337</v>
      </c>
      <c r="E448" s="1">
        <v>39947</v>
      </c>
      <c r="F448" s="2">
        <v>7000000</v>
      </c>
      <c r="G448" s="1">
        <v>39947</v>
      </c>
      <c r="H448" s="1">
        <v>39521</v>
      </c>
    </row>
    <row r="449" spans="1:8" x14ac:dyDescent="0.25">
      <c r="A449" t="s">
        <v>334</v>
      </c>
      <c r="B449" t="s">
        <v>161</v>
      </c>
      <c r="C449" t="s">
        <v>368</v>
      </c>
      <c r="D449" t="s">
        <v>337</v>
      </c>
      <c r="E449" s="1">
        <v>40168</v>
      </c>
      <c r="F449" s="2">
        <v>4440000</v>
      </c>
      <c r="G449" s="1">
        <v>40168</v>
      </c>
      <c r="H449" s="1">
        <v>39521</v>
      </c>
    </row>
    <row r="450" spans="1:8" x14ac:dyDescent="0.25">
      <c r="A450" t="s">
        <v>334</v>
      </c>
      <c r="B450" t="s">
        <v>161</v>
      </c>
      <c r="C450" t="s">
        <v>368</v>
      </c>
      <c r="D450" t="s">
        <v>337</v>
      </c>
      <c r="E450" s="1">
        <v>40361</v>
      </c>
      <c r="F450" s="2">
        <v>4440000</v>
      </c>
      <c r="G450" s="1">
        <v>40361</v>
      </c>
      <c r="H450" s="1">
        <v>39521</v>
      </c>
    </row>
    <row r="451" spans="1:8" x14ac:dyDescent="0.25">
      <c r="A451" t="s">
        <v>334</v>
      </c>
      <c r="B451" t="s">
        <v>161</v>
      </c>
      <c r="C451" t="s">
        <v>368</v>
      </c>
      <c r="D451" t="s">
        <v>337</v>
      </c>
      <c r="E451" s="1">
        <v>40534</v>
      </c>
      <c r="F451" s="2">
        <v>4440000</v>
      </c>
      <c r="G451" s="1">
        <v>40534</v>
      </c>
      <c r="H451" s="1">
        <v>39521</v>
      </c>
    </row>
    <row r="452" spans="1:8" x14ac:dyDescent="0.25">
      <c r="A452" t="s">
        <v>334</v>
      </c>
      <c r="B452" t="s">
        <v>161</v>
      </c>
      <c r="C452" t="s">
        <v>368</v>
      </c>
      <c r="D452" t="s">
        <v>337</v>
      </c>
      <c r="E452" s="1">
        <v>40731</v>
      </c>
      <c r="F452" s="2">
        <v>4440000</v>
      </c>
      <c r="G452" s="1">
        <v>40731</v>
      </c>
      <c r="H452" s="1">
        <v>39521</v>
      </c>
    </row>
    <row r="453" spans="1:8" x14ac:dyDescent="0.25">
      <c r="A453" t="s">
        <v>334</v>
      </c>
      <c r="B453" t="s">
        <v>161</v>
      </c>
      <c r="C453" t="s">
        <v>368</v>
      </c>
      <c r="D453" t="s">
        <v>337</v>
      </c>
      <c r="E453" s="1">
        <v>40889</v>
      </c>
      <c r="F453" s="2">
        <v>4440000</v>
      </c>
      <c r="G453" s="1">
        <v>40889</v>
      </c>
      <c r="H453" s="1">
        <v>39521</v>
      </c>
    </row>
    <row r="454" spans="1:8" x14ac:dyDescent="0.25">
      <c r="A454" t="s">
        <v>334</v>
      </c>
      <c r="B454" t="s">
        <v>161</v>
      </c>
      <c r="C454" t="s">
        <v>368</v>
      </c>
      <c r="D454" t="s">
        <v>337</v>
      </c>
      <c r="E454" s="1">
        <v>41046</v>
      </c>
      <c r="F454" s="2">
        <v>4440000</v>
      </c>
      <c r="G454" s="1">
        <v>41046</v>
      </c>
      <c r="H454" s="1">
        <v>39521</v>
      </c>
    </row>
    <row r="455" spans="1:8" x14ac:dyDescent="0.25">
      <c r="A455" t="s">
        <v>334</v>
      </c>
      <c r="B455" t="s">
        <v>161</v>
      </c>
      <c r="C455" t="s">
        <v>368</v>
      </c>
      <c r="D455" t="s">
        <v>337</v>
      </c>
      <c r="E455" s="1">
        <v>41241</v>
      </c>
      <c r="F455" s="2">
        <v>7382000</v>
      </c>
      <c r="G455" s="1">
        <v>41241</v>
      </c>
      <c r="H455" s="1">
        <v>41232</v>
      </c>
    </row>
    <row r="456" spans="1:8" x14ac:dyDescent="0.25">
      <c r="A456" t="s">
        <v>334</v>
      </c>
      <c r="B456" t="s">
        <v>161</v>
      </c>
      <c r="C456" t="s">
        <v>368</v>
      </c>
      <c r="D456" t="s">
        <v>337</v>
      </c>
      <c r="E456" s="1">
        <v>41466</v>
      </c>
      <c r="F456" s="2">
        <v>7382000</v>
      </c>
      <c r="G456" s="1">
        <v>41466</v>
      </c>
      <c r="H456" s="1">
        <v>41232</v>
      </c>
    </row>
    <row r="457" spans="1:8" x14ac:dyDescent="0.25">
      <c r="A457" t="s">
        <v>334</v>
      </c>
      <c r="B457" t="s">
        <v>161</v>
      </c>
      <c r="C457" t="s">
        <v>368</v>
      </c>
      <c r="D457" t="s">
        <v>337</v>
      </c>
      <c r="E457" s="1">
        <v>41627</v>
      </c>
      <c r="F457" s="2">
        <v>7382000</v>
      </c>
      <c r="G457" s="1">
        <v>41627</v>
      </c>
      <c r="H457" s="1">
        <v>41232</v>
      </c>
    </row>
    <row r="458" spans="1:8" x14ac:dyDescent="0.25">
      <c r="A458" t="s">
        <v>334</v>
      </c>
      <c r="B458" t="s">
        <v>161</v>
      </c>
      <c r="C458" t="s">
        <v>368</v>
      </c>
      <c r="D458" t="s">
        <v>337</v>
      </c>
      <c r="E458" s="1">
        <v>41831</v>
      </c>
      <c r="F458" s="2">
        <v>7382000</v>
      </c>
      <c r="G458" s="1">
        <v>41831</v>
      </c>
      <c r="H458" s="1">
        <v>41232</v>
      </c>
    </row>
    <row r="459" spans="1:8" x14ac:dyDescent="0.25">
      <c r="A459" t="s">
        <v>334</v>
      </c>
      <c r="B459" t="s">
        <v>161</v>
      </c>
      <c r="C459" t="s">
        <v>368</v>
      </c>
      <c r="D459" t="s">
        <v>337</v>
      </c>
      <c r="E459" s="1">
        <v>41914</v>
      </c>
      <c r="F459" s="2">
        <v>32300000</v>
      </c>
      <c r="G459" s="1">
        <v>41914</v>
      </c>
      <c r="H459" s="1">
        <v>41232</v>
      </c>
    </row>
    <row r="460" spans="1:8" x14ac:dyDescent="0.25">
      <c r="A460" t="s">
        <v>334</v>
      </c>
      <c r="B460" t="s">
        <v>161</v>
      </c>
      <c r="C460" t="s">
        <v>368</v>
      </c>
      <c r="D460" t="s">
        <v>337</v>
      </c>
      <c r="E460" s="1">
        <v>42369</v>
      </c>
      <c r="F460" s="2">
        <v>7382000</v>
      </c>
      <c r="G460" s="1">
        <v>42369</v>
      </c>
      <c r="H460" s="1">
        <v>41232</v>
      </c>
    </row>
    <row r="461" spans="1:8" x14ac:dyDescent="0.25">
      <c r="A461" t="s">
        <v>334</v>
      </c>
      <c r="B461" t="s">
        <v>161</v>
      </c>
      <c r="C461" t="s">
        <v>368</v>
      </c>
      <c r="D461" t="s">
        <v>337</v>
      </c>
      <c r="E461" s="1">
        <v>42732</v>
      </c>
      <c r="F461" s="2">
        <v>27690000</v>
      </c>
      <c r="G461" s="1">
        <v>42732</v>
      </c>
      <c r="H461" s="1">
        <v>41232</v>
      </c>
    </row>
    <row r="462" spans="1:8" x14ac:dyDescent="0.25">
      <c r="A462" t="s">
        <v>334</v>
      </c>
      <c r="B462" t="s">
        <v>161</v>
      </c>
      <c r="C462" t="s">
        <v>368</v>
      </c>
      <c r="D462" t="s">
        <v>337</v>
      </c>
      <c r="E462" s="1">
        <v>43056</v>
      </c>
      <c r="F462" s="2">
        <v>14764000</v>
      </c>
      <c r="G462" s="1">
        <v>43056</v>
      </c>
      <c r="H462" s="1">
        <v>41232</v>
      </c>
    </row>
    <row r="463" spans="1:8" x14ac:dyDescent="0.25">
      <c r="A463" t="s">
        <v>334</v>
      </c>
      <c r="B463" t="s">
        <v>161</v>
      </c>
      <c r="C463" t="s">
        <v>368</v>
      </c>
      <c r="D463" t="s">
        <v>337</v>
      </c>
      <c r="E463" s="1">
        <v>43818</v>
      </c>
      <c r="F463" s="2">
        <v>17000000</v>
      </c>
      <c r="G463" s="1">
        <v>43818</v>
      </c>
      <c r="H463" s="1">
        <v>43810</v>
      </c>
    </row>
    <row r="464" spans="1:8" x14ac:dyDescent="0.25">
      <c r="A464" t="s">
        <v>334</v>
      </c>
      <c r="B464" t="s">
        <v>161</v>
      </c>
      <c r="C464" t="s">
        <v>368</v>
      </c>
      <c r="D464" t="s">
        <v>337</v>
      </c>
      <c r="E464" s="1">
        <v>44188</v>
      </c>
      <c r="F464" s="2">
        <v>34000000</v>
      </c>
      <c r="G464" s="1">
        <v>44188</v>
      </c>
      <c r="H464" s="1">
        <v>43810</v>
      </c>
    </row>
    <row r="465" spans="1:8" x14ac:dyDescent="0.25">
      <c r="A465" t="s">
        <v>334</v>
      </c>
      <c r="B465" t="s">
        <v>161</v>
      </c>
      <c r="C465" t="s">
        <v>368</v>
      </c>
      <c r="D465" t="s">
        <v>337</v>
      </c>
      <c r="E465" s="1">
        <v>44530</v>
      </c>
      <c r="F465" s="2">
        <v>17000000</v>
      </c>
      <c r="G465" s="1">
        <v>44530</v>
      </c>
      <c r="H465" s="1">
        <v>43810</v>
      </c>
    </row>
    <row r="466" spans="1:8" x14ac:dyDescent="0.25">
      <c r="A466" t="s">
        <v>334</v>
      </c>
      <c r="B466" t="s">
        <v>161</v>
      </c>
      <c r="C466" t="s">
        <v>368</v>
      </c>
      <c r="D466" t="s">
        <v>337</v>
      </c>
      <c r="E466" s="1">
        <v>44799</v>
      </c>
      <c r="F466" s="2">
        <v>17000000</v>
      </c>
      <c r="G466" s="1">
        <v>44799</v>
      </c>
      <c r="H466" s="1">
        <v>43810</v>
      </c>
    </row>
    <row r="467" spans="1:8" x14ac:dyDescent="0.25">
      <c r="A467" t="s">
        <v>334</v>
      </c>
      <c r="B467" t="s">
        <v>161</v>
      </c>
      <c r="C467" t="s">
        <v>368</v>
      </c>
      <c r="D467" t="s">
        <v>337</v>
      </c>
      <c r="E467" s="1">
        <v>45562</v>
      </c>
      <c r="F467" s="2">
        <v>4300000</v>
      </c>
      <c r="G467" s="1">
        <v>45562</v>
      </c>
      <c r="H467" s="1">
        <v>45560</v>
      </c>
    </row>
    <row r="468" spans="1:8" x14ac:dyDescent="0.25">
      <c r="A468" t="s">
        <v>334</v>
      </c>
      <c r="B468" t="s">
        <v>162</v>
      </c>
      <c r="C468" t="s">
        <v>369</v>
      </c>
      <c r="D468" t="s">
        <v>337</v>
      </c>
      <c r="E468" s="1">
        <v>38412</v>
      </c>
      <c r="F468" s="2">
        <v>11348000</v>
      </c>
      <c r="G468" s="1">
        <v>38412</v>
      </c>
      <c r="H468" s="1">
        <v>36951</v>
      </c>
    </row>
    <row r="469" spans="1:8" x14ac:dyDescent="0.25">
      <c r="A469" t="s">
        <v>334</v>
      </c>
      <c r="B469" t="s">
        <v>162</v>
      </c>
      <c r="C469" t="s">
        <v>369</v>
      </c>
      <c r="D469" t="s">
        <v>337</v>
      </c>
      <c r="E469" s="1">
        <v>38933</v>
      </c>
      <c r="F469" s="2">
        <v>7856000</v>
      </c>
      <c r="G469" s="1">
        <v>38933</v>
      </c>
      <c r="H469" s="1">
        <v>38919</v>
      </c>
    </row>
    <row r="470" spans="1:8" x14ac:dyDescent="0.25">
      <c r="A470" t="s">
        <v>334</v>
      </c>
      <c r="B470" t="s">
        <v>162</v>
      </c>
      <c r="C470" t="s">
        <v>369</v>
      </c>
      <c r="D470" t="s">
        <v>337</v>
      </c>
      <c r="E470" s="1">
        <v>39094</v>
      </c>
      <c r="F470" s="2">
        <v>7856000</v>
      </c>
      <c r="G470" s="1">
        <v>39094</v>
      </c>
      <c r="H470" s="1">
        <v>38919</v>
      </c>
    </row>
    <row r="471" spans="1:8" x14ac:dyDescent="0.25">
      <c r="A471" t="s">
        <v>334</v>
      </c>
      <c r="B471" t="s">
        <v>162</v>
      </c>
      <c r="C471" t="s">
        <v>369</v>
      </c>
      <c r="D471" t="s">
        <v>337</v>
      </c>
      <c r="E471" s="1">
        <v>39492</v>
      </c>
      <c r="F471" s="2">
        <v>15712000</v>
      </c>
      <c r="G471" s="1">
        <v>39492</v>
      </c>
      <c r="H471" s="1">
        <v>38919</v>
      </c>
    </row>
    <row r="472" spans="1:8" x14ac:dyDescent="0.25">
      <c r="A472" t="s">
        <v>334</v>
      </c>
      <c r="B472" t="s">
        <v>162</v>
      </c>
      <c r="C472" t="s">
        <v>369</v>
      </c>
      <c r="D472" t="s">
        <v>337</v>
      </c>
      <c r="E472" s="1">
        <v>39646</v>
      </c>
      <c r="F472" s="2">
        <v>21606000</v>
      </c>
      <c r="G472" s="1">
        <v>39646</v>
      </c>
      <c r="H472" s="1">
        <v>38919</v>
      </c>
    </row>
    <row r="473" spans="1:8" x14ac:dyDescent="0.25">
      <c r="A473" t="s">
        <v>334</v>
      </c>
      <c r="B473" t="s">
        <v>162</v>
      </c>
      <c r="C473" t="s">
        <v>369</v>
      </c>
      <c r="D473" t="s">
        <v>337</v>
      </c>
      <c r="E473" s="1">
        <v>42586</v>
      </c>
      <c r="F473" s="2">
        <v>31428000</v>
      </c>
      <c r="G473" s="1">
        <v>42586</v>
      </c>
      <c r="H473" s="1">
        <v>42578</v>
      </c>
    </row>
    <row r="474" spans="1:8" x14ac:dyDescent="0.25">
      <c r="A474" t="s">
        <v>334</v>
      </c>
      <c r="B474" t="s">
        <v>162</v>
      </c>
      <c r="C474" t="s">
        <v>369</v>
      </c>
      <c r="D474" t="s">
        <v>337</v>
      </c>
      <c r="E474" s="1">
        <v>42923</v>
      </c>
      <c r="F474" s="2">
        <v>61978000</v>
      </c>
      <c r="G474" s="1">
        <v>42923</v>
      </c>
      <c r="H474" s="1">
        <v>42578</v>
      </c>
    </row>
    <row r="475" spans="1:8" x14ac:dyDescent="0.25">
      <c r="A475" t="s">
        <v>334</v>
      </c>
      <c r="B475" t="s">
        <v>162</v>
      </c>
      <c r="C475" t="s">
        <v>369</v>
      </c>
      <c r="D475" t="s">
        <v>337</v>
      </c>
      <c r="E475" s="1">
        <v>43083</v>
      </c>
      <c r="F475" s="2">
        <v>31428000</v>
      </c>
      <c r="G475" s="1">
        <v>43083</v>
      </c>
      <c r="H475" s="1">
        <v>42578</v>
      </c>
    </row>
    <row r="476" spans="1:8" x14ac:dyDescent="0.25">
      <c r="A476" t="s">
        <v>334</v>
      </c>
      <c r="B476" t="s">
        <v>162</v>
      </c>
      <c r="C476" t="s">
        <v>369</v>
      </c>
      <c r="D476" t="s">
        <v>337</v>
      </c>
      <c r="E476" s="1">
        <v>43301</v>
      </c>
      <c r="F476" s="2">
        <v>31428000</v>
      </c>
      <c r="G476" s="1">
        <v>43301</v>
      </c>
      <c r="H476" s="1">
        <v>42578</v>
      </c>
    </row>
    <row r="477" spans="1:8" x14ac:dyDescent="0.25">
      <c r="A477" t="s">
        <v>334</v>
      </c>
      <c r="B477" t="s">
        <v>162</v>
      </c>
      <c r="C477" t="s">
        <v>369</v>
      </c>
      <c r="D477" t="s">
        <v>337</v>
      </c>
      <c r="E477" s="1">
        <v>43556</v>
      </c>
      <c r="F477" s="2">
        <v>31428000</v>
      </c>
      <c r="G477" s="1">
        <v>43556</v>
      </c>
      <c r="H477" s="1">
        <v>42578</v>
      </c>
    </row>
    <row r="478" spans="1:8" x14ac:dyDescent="0.25">
      <c r="A478" t="s">
        <v>334</v>
      </c>
      <c r="B478" t="s">
        <v>162</v>
      </c>
      <c r="C478" t="s">
        <v>369</v>
      </c>
      <c r="D478" t="s">
        <v>337</v>
      </c>
      <c r="E478" s="1">
        <v>43682</v>
      </c>
      <c r="F478" s="2">
        <v>31428000</v>
      </c>
      <c r="G478" s="1">
        <v>43682</v>
      </c>
      <c r="H478" s="1">
        <v>42578</v>
      </c>
    </row>
    <row r="479" spans="1:8" x14ac:dyDescent="0.25">
      <c r="A479" t="s">
        <v>334</v>
      </c>
      <c r="B479" t="s">
        <v>162</v>
      </c>
      <c r="C479" t="s">
        <v>369</v>
      </c>
      <c r="D479" t="s">
        <v>337</v>
      </c>
      <c r="E479" s="1">
        <v>43867</v>
      </c>
      <c r="F479" s="2">
        <v>31432000</v>
      </c>
      <c r="G479" s="1">
        <v>43867</v>
      </c>
      <c r="H479" s="1">
        <v>42578</v>
      </c>
    </row>
    <row r="480" spans="1:8" x14ac:dyDescent="0.25">
      <c r="A480" t="s">
        <v>334</v>
      </c>
      <c r="B480" t="s">
        <v>162</v>
      </c>
      <c r="C480" t="s">
        <v>369</v>
      </c>
      <c r="D480" t="s">
        <v>337</v>
      </c>
      <c r="E480" s="1">
        <v>44286</v>
      </c>
      <c r="F480" s="2">
        <v>48880000</v>
      </c>
      <c r="G480" s="1">
        <v>44286</v>
      </c>
      <c r="H480" s="1">
        <v>44284</v>
      </c>
    </row>
    <row r="481" spans="1:8" x14ac:dyDescent="0.25">
      <c r="A481" t="s">
        <v>334</v>
      </c>
      <c r="B481" t="s">
        <v>162</v>
      </c>
      <c r="C481" t="s">
        <v>369</v>
      </c>
      <c r="D481" t="s">
        <v>337</v>
      </c>
      <c r="E481" s="1">
        <v>44629</v>
      </c>
      <c r="F481" s="2">
        <v>48880000</v>
      </c>
      <c r="G481" s="1">
        <v>44629</v>
      </c>
      <c r="H481" s="1">
        <v>44284</v>
      </c>
    </row>
    <row r="482" spans="1:8" x14ac:dyDescent="0.25">
      <c r="A482" t="s">
        <v>334</v>
      </c>
      <c r="B482" t="s">
        <v>162</v>
      </c>
      <c r="C482" t="s">
        <v>369</v>
      </c>
      <c r="D482" t="s">
        <v>337</v>
      </c>
      <c r="E482" s="1">
        <v>44818</v>
      </c>
      <c r="F482" s="2">
        <v>24440000</v>
      </c>
      <c r="G482" s="1">
        <v>44818</v>
      </c>
      <c r="H482" s="1">
        <v>44284</v>
      </c>
    </row>
    <row r="483" spans="1:8" x14ac:dyDescent="0.25">
      <c r="A483" t="s">
        <v>334</v>
      </c>
      <c r="B483" t="s">
        <v>162</v>
      </c>
      <c r="C483" t="s">
        <v>369</v>
      </c>
      <c r="D483" t="s">
        <v>337</v>
      </c>
      <c r="E483" s="1">
        <v>44988</v>
      </c>
      <c r="F483" s="2">
        <v>24440000</v>
      </c>
      <c r="G483" s="1">
        <v>44988</v>
      </c>
      <c r="H483" s="1">
        <v>44284</v>
      </c>
    </row>
    <row r="484" spans="1:8" x14ac:dyDescent="0.25">
      <c r="A484" t="s">
        <v>334</v>
      </c>
      <c r="B484" t="s">
        <v>162</v>
      </c>
      <c r="C484" t="s">
        <v>369</v>
      </c>
      <c r="D484" t="s">
        <v>337</v>
      </c>
      <c r="E484" s="1">
        <v>45100</v>
      </c>
      <c r="F484" s="2">
        <v>24440000</v>
      </c>
      <c r="G484" s="1">
        <v>45100</v>
      </c>
      <c r="H484" s="1">
        <v>44284</v>
      </c>
    </row>
    <row r="485" spans="1:8" x14ac:dyDescent="0.25">
      <c r="A485" t="s">
        <v>334</v>
      </c>
      <c r="B485" t="s">
        <v>162</v>
      </c>
      <c r="C485" t="s">
        <v>369</v>
      </c>
      <c r="D485" t="s">
        <v>337</v>
      </c>
      <c r="E485" s="1">
        <v>45468</v>
      </c>
      <c r="F485" s="2">
        <v>36660000</v>
      </c>
      <c r="G485" s="1">
        <v>45468</v>
      </c>
      <c r="H485" s="1">
        <v>45464</v>
      </c>
    </row>
    <row r="486" spans="1:8" x14ac:dyDescent="0.25">
      <c r="A486" t="s">
        <v>334</v>
      </c>
      <c r="B486" t="s">
        <v>163</v>
      </c>
      <c r="C486" t="s">
        <v>370</v>
      </c>
      <c r="D486" t="s">
        <v>337</v>
      </c>
      <c r="E486" s="1">
        <v>38576</v>
      </c>
      <c r="F486" s="2">
        <v>5419000</v>
      </c>
      <c r="G486" s="1">
        <v>38576</v>
      </c>
      <c r="H486" s="1">
        <v>38569</v>
      </c>
    </row>
    <row r="487" spans="1:8" x14ac:dyDescent="0.25">
      <c r="A487" t="s">
        <v>334</v>
      </c>
      <c r="B487" t="s">
        <v>163</v>
      </c>
      <c r="C487" t="s">
        <v>370</v>
      </c>
      <c r="D487" t="s">
        <v>337</v>
      </c>
      <c r="E487" s="1">
        <v>38786</v>
      </c>
      <c r="F487" s="2">
        <v>4924500</v>
      </c>
      <c r="G487" s="1">
        <v>38786</v>
      </c>
      <c r="H487" s="1">
        <v>38569</v>
      </c>
    </row>
    <row r="488" spans="1:8" x14ac:dyDescent="0.25">
      <c r="A488" t="s">
        <v>334</v>
      </c>
      <c r="B488" t="s">
        <v>163</v>
      </c>
      <c r="C488" t="s">
        <v>370</v>
      </c>
      <c r="D488" t="s">
        <v>337</v>
      </c>
      <c r="E488" s="1">
        <v>38971</v>
      </c>
      <c r="F488" s="2">
        <v>4924500</v>
      </c>
      <c r="G488" s="1">
        <v>38971</v>
      </c>
      <c r="H488" s="1">
        <v>38569</v>
      </c>
    </row>
    <row r="489" spans="1:8" x14ac:dyDescent="0.25">
      <c r="A489" t="s">
        <v>334</v>
      </c>
      <c r="B489" t="s">
        <v>163</v>
      </c>
      <c r="C489" t="s">
        <v>370</v>
      </c>
      <c r="D489" t="s">
        <v>337</v>
      </c>
      <c r="E489" s="1">
        <v>39169</v>
      </c>
      <c r="F489" s="2">
        <v>6680000</v>
      </c>
      <c r="G489" s="1">
        <v>39169</v>
      </c>
      <c r="H489" s="1">
        <v>38569</v>
      </c>
    </row>
    <row r="490" spans="1:8" x14ac:dyDescent="0.25">
      <c r="A490" t="s">
        <v>334</v>
      </c>
      <c r="B490" t="s">
        <v>163</v>
      </c>
      <c r="C490" t="s">
        <v>370</v>
      </c>
      <c r="D490" t="s">
        <v>337</v>
      </c>
      <c r="E490" s="1">
        <v>39457</v>
      </c>
      <c r="F490" s="2">
        <v>11451000</v>
      </c>
      <c r="G490" s="1">
        <v>39457</v>
      </c>
      <c r="H490" s="1">
        <v>38569</v>
      </c>
    </row>
    <row r="491" spans="1:8" x14ac:dyDescent="0.25">
      <c r="A491" t="s">
        <v>334</v>
      </c>
      <c r="B491" t="s">
        <v>163</v>
      </c>
      <c r="C491" t="s">
        <v>370</v>
      </c>
      <c r="D491" t="s">
        <v>337</v>
      </c>
      <c r="E491" s="1">
        <v>39657</v>
      </c>
      <c r="F491" s="2">
        <v>15181000</v>
      </c>
      <c r="G491" s="1">
        <v>39657</v>
      </c>
      <c r="H491" s="1">
        <v>38569</v>
      </c>
    </row>
    <row r="492" spans="1:8" x14ac:dyDescent="0.25">
      <c r="A492" t="s">
        <v>334</v>
      </c>
      <c r="B492" t="s">
        <v>163</v>
      </c>
      <c r="C492" t="s">
        <v>370</v>
      </c>
      <c r="D492" t="s">
        <v>337</v>
      </c>
      <c r="E492" s="1">
        <v>40234</v>
      </c>
      <c r="F492" s="2">
        <v>6940000</v>
      </c>
      <c r="G492" s="1">
        <v>40234</v>
      </c>
      <c r="H492" s="1">
        <v>40228</v>
      </c>
    </row>
    <row r="493" spans="1:8" x14ac:dyDescent="0.25">
      <c r="A493" t="s">
        <v>334</v>
      </c>
      <c r="B493" t="s">
        <v>163</v>
      </c>
      <c r="C493" t="s">
        <v>370</v>
      </c>
      <c r="D493" t="s">
        <v>337</v>
      </c>
      <c r="E493" s="1">
        <v>40534</v>
      </c>
      <c r="F493" s="2">
        <v>6940000</v>
      </c>
      <c r="G493" s="1">
        <v>40534</v>
      </c>
      <c r="H493" s="1">
        <v>40228</v>
      </c>
    </row>
    <row r="494" spans="1:8" x14ac:dyDescent="0.25">
      <c r="A494" t="s">
        <v>334</v>
      </c>
      <c r="B494" t="s">
        <v>163</v>
      </c>
      <c r="C494" t="s">
        <v>370</v>
      </c>
      <c r="D494" t="s">
        <v>337</v>
      </c>
      <c r="E494" s="1">
        <v>41121</v>
      </c>
      <c r="F494" s="2">
        <v>13020000</v>
      </c>
      <c r="G494" s="1">
        <v>41121</v>
      </c>
      <c r="H494" s="1">
        <v>41113</v>
      </c>
    </row>
    <row r="495" spans="1:8" x14ac:dyDescent="0.25">
      <c r="A495" t="s">
        <v>334</v>
      </c>
      <c r="B495" t="s">
        <v>163</v>
      </c>
      <c r="C495" t="s">
        <v>370</v>
      </c>
      <c r="D495" t="s">
        <v>337</v>
      </c>
      <c r="E495" s="1">
        <v>41270</v>
      </c>
      <c r="F495" s="2">
        <v>13020000</v>
      </c>
      <c r="G495" s="1">
        <v>41270</v>
      </c>
      <c r="H495" s="1">
        <v>41113</v>
      </c>
    </row>
    <row r="496" spans="1:8" x14ac:dyDescent="0.25">
      <c r="A496" t="s">
        <v>334</v>
      </c>
      <c r="B496" t="s">
        <v>163</v>
      </c>
      <c r="C496" t="s">
        <v>370</v>
      </c>
      <c r="D496" t="s">
        <v>337</v>
      </c>
      <c r="E496" s="1">
        <v>41380</v>
      </c>
      <c r="F496" s="2">
        <v>13010000</v>
      </c>
      <c r="G496" s="1">
        <v>41380</v>
      </c>
      <c r="H496" s="1">
        <v>41113</v>
      </c>
    </row>
    <row r="497" spans="1:8" x14ac:dyDescent="0.25">
      <c r="A497" t="s">
        <v>334</v>
      </c>
      <c r="B497" t="s">
        <v>163</v>
      </c>
      <c r="C497" t="s">
        <v>370</v>
      </c>
      <c r="D497" t="s">
        <v>337</v>
      </c>
      <c r="E497" s="1">
        <v>41666</v>
      </c>
      <c r="F497" s="2">
        <v>13010000</v>
      </c>
      <c r="G497" s="1">
        <v>41666</v>
      </c>
      <c r="H497" s="1">
        <v>41113</v>
      </c>
    </row>
    <row r="498" spans="1:8" x14ac:dyDescent="0.25">
      <c r="A498" t="s">
        <v>334</v>
      </c>
      <c r="B498" t="s">
        <v>163</v>
      </c>
      <c r="C498" t="s">
        <v>370</v>
      </c>
      <c r="D498" t="s">
        <v>337</v>
      </c>
      <c r="E498" s="1">
        <v>42094</v>
      </c>
      <c r="F498" s="2">
        <v>13020000</v>
      </c>
      <c r="G498" s="1">
        <v>42094</v>
      </c>
      <c r="H498" s="1">
        <v>41113</v>
      </c>
    </row>
    <row r="499" spans="1:8" x14ac:dyDescent="0.25">
      <c r="A499" t="s">
        <v>334</v>
      </c>
      <c r="B499" t="s">
        <v>163</v>
      </c>
      <c r="C499" t="s">
        <v>370</v>
      </c>
      <c r="D499" t="s">
        <v>337</v>
      </c>
      <c r="E499" s="1">
        <v>42549</v>
      </c>
      <c r="F499" s="2">
        <v>54220000</v>
      </c>
      <c r="G499" s="1">
        <v>42549</v>
      </c>
      <c r="H499" s="1">
        <v>41113</v>
      </c>
    </row>
    <row r="500" spans="1:8" x14ac:dyDescent="0.25">
      <c r="A500" t="s">
        <v>334</v>
      </c>
      <c r="B500" t="s">
        <v>163</v>
      </c>
      <c r="C500" t="s">
        <v>370</v>
      </c>
      <c r="D500" t="s">
        <v>337</v>
      </c>
      <c r="E500" s="1">
        <v>42915</v>
      </c>
      <c r="F500" s="2">
        <v>19500000</v>
      </c>
      <c r="G500" s="1">
        <v>42915</v>
      </c>
      <c r="H500" s="1">
        <v>41113</v>
      </c>
    </row>
    <row r="501" spans="1:8" x14ac:dyDescent="0.25">
      <c r="A501" t="s">
        <v>334</v>
      </c>
      <c r="B501" t="s">
        <v>163</v>
      </c>
      <c r="C501" t="s">
        <v>370</v>
      </c>
      <c r="D501" t="s">
        <v>337</v>
      </c>
      <c r="E501" s="1">
        <v>43230</v>
      </c>
      <c r="F501" s="2">
        <v>11150000</v>
      </c>
      <c r="G501" s="1">
        <v>43230</v>
      </c>
      <c r="H501" s="1">
        <v>43220</v>
      </c>
    </row>
    <row r="502" spans="1:8" x14ac:dyDescent="0.25">
      <c r="A502" t="s">
        <v>334</v>
      </c>
      <c r="B502" t="s">
        <v>163</v>
      </c>
      <c r="C502" t="s">
        <v>370</v>
      </c>
      <c r="D502" t="s">
        <v>337</v>
      </c>
      <c r="E502" s="1">
        <v>43434</v>
      </c>
      <c r="F502" s="2">
        <v>11150000</v>
      </c>
      <c r="G502" s="1">
        <v>43434</v>
      </c>
      <c r="H502" s="1">
        <v>43220</v>
      </c>
    </row>
    <row r="503" spans="1:8" x14ac:dyDescent="0.25">
      <c r="A503" t="s">
        <v>334</v>
      </c>
      <c r="B503" t="s">
        <v>163</v>
      </c>
      <c r="C503" t="s">
        <v>370</v>
      </c>
      <c r="D503" t="s">
        <v>337</v>
      </c>
      <c r="E503" s="1">
        <v>43803</v>
      </c>
      <c r="F503" s="2">
        <v>31550000</v>
      </c>
      <c r="G503" s="1">
        <v>43803</v>
      </c>
      <c r="H503" s="1">
        <v>43220</v>
      </c>
    </row>
    <row r="504" spans="1:8" x14ac:dyDescent="0.25">
      <c r="A504" t="s">
        <v>334</v>
      </c>
      <c r="B504" t="s">
        <v>163</v>
      </c>
      <c r="C504" t="s">
        <v>370</v>
      </c>
      <c r="D504" t="s">
        <v>337</v>
      </c>
      <c r="E504" s="1">
        <v>45247</v>
      </c>
      <c r="F504" s="2">
        <v>26372000</v>
      </c>
      <c r="G504" s="1">
        <v>45247</v>
      </c>
      <c r="H504" s="1">
        <v>45245</v>
      </c>
    </row>
    <row r="505" spans="1:8" x14ac:dyDescent="0.25">
      <c r="A505" t="s">
        <v>339</v>
      </c>
      <c r="B505" t="s">
        <v>165</v>
      </c>
      <c r="C505" t="s">
        <v>371</v>
      </c>
      <c r="D505" t="s">
        <v>363</v>
      </c>
      <c r="E505" s="1">
        <v>40155</v>
      </c>
      <c r="F505" s="2">
        <v>4100000</v>
      </c>
      <c r="G505" s="1">
        <v>40155</v>
      </c>
      <c r="H505" s="1">
        <v>40151</v>
      </c>
    </row>
    <row r="506" spans="1:8" x14ac:dyDescent="0.25">
      <c r="A506" t="s">
        <v>339</v>
      </c>
      <c r="B506" t="s">
        <v>165</v>
      </c>
      <c r="C506" t="s">
        <v>371</v>
      </c>
      <c r="D506" t="s">
        <v>363</v>
      </c>
      <c r="E506" s="1">
        <v>40267</v>
      </c>
      <c r="F506" s="2">
        <v>4100000</v>
      </c>
      <c r="G506" s="1">
        <v>40267</v>
      </c>
      <c r="H506" s="1">
        <v>40151</v>
      </c>
    </row>
    <row r="507" spans="1:8" x14ac:dyDescent="0.25">
      <c r="A507" t="s">
        <v>334</v>
      </c>
      <c r="B507" t="s">
        <v>166</v>
      </c>
      <c r="C507" t="s">
        <v>372</v>
      </c>
      <c r="D507" t="s">
        <v>337</v>
      </c>
      <c r="E507" s="1">
        <v>38433</v>
      </c>
      <c r="F507" s="2">
        <v>1330000</v>
      </c>
      <c r="G507" s="1">
        <v>38433</v>
      </c>
      <c r="H507" s="1">
        <v>38161</v>
      </c>
    </row>
    <row r="508" spans="1:8" x14ac:dyDescent="0.25">
      <c r="A508" t="s">
        <v>334</v>
      </c>
      <c r="B508" t="s">
        <v>166</v>
      </c>
      <c r="C508" t="s">
        <v>372</v>
      </c>
      <c r="D508" t="s">
        <v>337</v>
      </c>
      <c r="E508" s="1">
        <v>38730</v>
      </c>
      <c r="F508" s="2">
        <v>2663000</v>
      </c>
      <c r="G508" s="1">
        <v>38730</v>
      </c>
      <c r="H508" s="1">
        <v>38161</v>
      </c>
    </row>
    <row r="509" spans="1:8" x14ac:dyDescent="0.25">
      <c r="A509" t="s">
        <v>334</v>
      </c>
      <c r="B509" t="s">
        <v>166</v>
      </c>
      <c r="C509" t="s">
        <v>372</v>
      </c>
      <c r="D509" t="s">
        <v>337</v>
      </c>
      <c r="E509" s="1">
        <v>38930</v>
      </c>
      <c r="F509" s="2">
        <v>1333000</v>
      </c>
      <c r="G509" s="1">
        <v>38930</v>
      </c>
      <c r="H509" s="1">
        <v>38161</v>
      </c>
    </row>
    <row r="510" spans="1:8" x14ac:dyDescent="0.25">
      <c r="A510" t="s">
        <v>334</v>
      </c>
      <c r="B510" t="s">
        <v>166</v>
      </c>
      <c r="C510" t="s">
        <v>372</v>
      </c>
      <c r="D510" t="s">
        <v>337</v>
      </c>
      <c r="E510" s="1">
        <v>39139</v>
      </c>
      <c r="F510" s="2">
        <v>1333000</v>
      </c>
      <c r="G510" s="1">
        <v>39139</v>
      </c>
      <c r="H510" s="1">
        <v>38161</v>
      </c>
    </row>
    <row r="511" spans="1:8" x14ac:dyDescent="0.25">
      <c r="A511" t="s">
        <v>334</v>
      </c>
      <c r="B511" t="s">
        <v>166</v>
      </c>
      <c r="C511" t="s">
        <v>372</v>
      </c>
      <c r="D511" t="s">
        <v>337</v>
      </c>
      <c r="E511" s="1">
        <v>39394</v>
      </c>
      <c r="F511" s="2">
        <v>1341000</v>
      </c>
      <c r="G511" s="1">
        <v>39394</v>
      </c>
      <c r="H511" s="1">
        <v>38161</v>
      </c>
    </row>
    <row r="512" spans="1:8" x14ac:dyDescent="0.25">
      <c r="A512" t="s">
        <v>334</v>
      </c>
      <c r="B512" t="s">
        <v>166</v>
      </c>
      <c r="C512" t="s">
        <v>372</v>
      </c>
      <c r="D512" t="s">
        <v>337</v>
      </c>
      <c r="E512" s="1">
        <v>39617</v>
      </c>
      <c r="F512" s="2">
        <v>12990000</v>
      </c>
      <c r="G512" s="1">
        <v>39617</v>
      </c>
      <c r="H512" s="1">
        <v>39596</v>
      </c>
    </row>
    <row r="513" spans="1:8" x14ac:dyDescent="0.25">
      <c r="A513" t="s">
        <v>334</v>
      </c>
      <c r="B513" t="s">
        <v>166</v>
      </c>
      <c r="C513" t="s">
        <v>372</v>
      </c>
      <c r="D513" t="s">
        <v>337</v>
      </c>
      <c r="E513" s="1">
        <v>39804</v>
      </c>
      <c r="F513" s="2">
        <v>5000000</v>
      </c>
      <c r="G513" s="1">
        <v>39804</v>
      </c>
      <c r="H513" s="1">
        <v>39596</v>
      </c>
    </row>
    <row r="514" spans="1:8" x14ac:dyDescent="0.25">
      <c r="A514" t="s">
        <v>334</v>
      </c>
      <c r="B514" t="s">
        <v>166</v>
      </c>
      <c r="C514" t="s">
        <v>372</v>
      </c>
      <c r="D514" t="s">
        <v>337</v>
      </c>
      <c r="E514" s="1">
        <v>40007</v>
      </c>
      <c r="F514" s="2">
        <v>2000000</v>
      </c>
      <c r="G514" s="1">
        <v>40007</v>
      </c>
      <c r="H514" s="1">
        <v>39596</v>
      </c>
    </row>
    <row r="515" spans="1:8" x14ac:dyDescent="0.25">
      <c r="A515" t="s">
        <v>334</v>
      </c>
      <c r="B515" t="s">
        <v>166</v>
      </c>
      <c r="C515" t="s">
        <v>372</v>
      </c>
      <c r="D515" t="s">
        <v>337</v>
      </c>
      <c r="E515" s="1">
        <v>40219</v>
      </c>
      <c r="F515" s="2">
        <v>2000000</v>
      </c>
      <c r="G515" s="1">
        <v>40219</v>
      </c>
      <c r="H515" s="1">
        <v>39596</v>
      </c>
    </row>
    <row r="516" spans="1:8" x14ac:dyDescent="0.25">
      <c r="A516" t="s">
        <v>334</v>
      </c>
      <c r="B516" t="s">
        <v>166</v>
      </c>
      <c r="C516" t="s">
        <v>372</v>
      </c>
      <c r="D516" t="s">
        <v>337</v>
      </c>
      <c r="E516" s="1">
        <v>40385</v>
      </c>
      <c r="F516" s="2">
        <v>2000000</v>
      </c>
      <c r="G516" s="1">
        <v>40385</v>
      </c>
      <c r="H516" s="1">
        <v>39596</v>
      </c>
    </row>
    <row r="517" spans="1:8" x14ac:dyDescent="0.25">
      <c r="A517" t="s">
        <v>334</v>
      </c>
      <c r="B517" t="s">
        <v>166</v>
      </c>
      <c r="C517" t="s">
        <v>372</v>
      </c>
      <c r="D517" t="s">
        <v>337</v>
      </c>
      <c r="E517" s="1">
        <v>40577</v>
      </c>
      <c r="F517" s="2">
        <v>2000000</v>
      </c>
      <c r="G517" s="1">
        <v>40577</v>
      </c>
      <c r="H517" s="1">
        <v>39596</v>
      </c>
    </row>
    <row r="518" spans="1:8" x14ac:dyDescent="0.25">
      <c r="A518" t="s">
        <v>334</v>
      </c>
      <c r="B518" t="s">
        <v>166</v>
      </c>
      <c r="C518" t="s">
        <v>372</v>
      </c>
      <c r="D518" t="s">
        <v>337</v>
      </c>
      <c r="E518" s="1">
        <v>40722</v>
      </c>
      <c r="F518" s="2">
        <v>21000000</v>
      </c>
      <c r="G518" s="1">
        <v>40722</v>
      </c>
      <c r="H518" s="1">
        <v>39596</v>
      </c>
    </row>
    <row r="519" spans="1:8" x14ac:dyDescent="0.25">
      <c r="A519" t="s">
        <v>334</v>
      </c>
      <c r="B519" t="s">
        <v>166</v>
      </c>
      <c r="C519" t="s">
        <v>372</v>
      </c>
      <c r="D519" t="s">
        <v>337</v>
      </c>
      <c r="E519" s="1">
        <v>40899</v>
      </c>
      <c r="F519" s="2">
        <v>6000000</v>
      </c>
      <c r="G519" s="1">
        <v>40899</v>
      </c>
      <c r="H519" s="1">
        <v>39596</v>
      </c>
    </row>
    <row r="520" spans="1:8" x14ac:dyDescent="0.25">
      <c r="A520" t="s">
        <v>334</v>
      </c>
      <c r="B520" t="s">
        <v>166</v>
      </c>
      <c r="C520" t="s">
        <v>372</v>
      </c>
      <c r="D520" t="s">
        <v>337</v>
      </c>
      <c r="E520" s="1">
        <v>40920</v>
      </c>
      <c r="F520" s="2">
        <v>6000000</v>
      </c>
      <c r="G520" s="1">
        <v>40920</v>
      </c>
      <c r="H520" s="1">
        <v>40904</v>
      </c>
    </row>
    <row r="521" spans="1:8" x14ac:dyDescent="0.25">
      <c r="A521" t="s">
        <v>334</v>
      </c>
      <c r="B521" t="s">
        <v>166</v>
      </c>
      <c r="C521" t="s">
        <v>372</v>
      </c>
      <c r="D521" t="s">
        <v>337</v>
      </c>
      <c r="E521" s="1">
        <v>41635</v>
      </c>
      <c r="F521" s="2">
        <v>6000000</v>
      </c>
      <c r="G521" s="1">
        <v>41635</v>
      </c>
      <c r="H521" s="1">
        <v>41626</v>
      </c>
    </row>
    <row r="522" spans="1:8" x14ac:dyDescent="0.25">
      <c r="A522" t="s">
        <v>334</v>
      </c>
      <c r="B522" t="s">
        <v>166</v>
      </c>
      <c r="C522" t="s">
        <v>372</v>
      </c>
      <c r="D522" t="s">
        <v>337</v>
      </c>
      <c r="E522" s="1">
        <v>41982</v>
      </c>
      <c r="F522" s="2">
        <v>8000000</v>
      </c>
      <c r="G522" s="1">
        <v>41982</v>
      </c>
      <c r="H522" s="1">
        <v>41626</v>
      </c>
    </row>
    <row r="523" spans="1:8" x14ac:dyDescent="0.25">
      <c r="A523" t="s">
        <v>334</v>
      </c>
      <c r="B523" t="s">
        <v>166</v>
      </c>
      <c r="C523" t="s">
        <v>372</v>
      </c>
      <c r="D523" t="s">
        <v>337</v>
      </c>
      <c r="E523" s="1">
        <v>42174</v>
      </c>
      <c r="F523" s="2">
        <v>4000000</v>
      </c>
      <c r="G523" s="1">
        <v>42174</v>
      </c>
      <c r="H523" s="1">
        <v>41626</v>
      </c>
    </row>
    <row r="524" spans="1:8" x14ac:dyDescent="0.25">
      <c r="A524" t="s">
        <v>334</v>
      </c>
      <c r="B524" t="s">
        <v>166</v>
      </c>
      <c r="C524" t="s">
        <v>372</v>
      </c>
      <c r="D524" t="s">
        <v>337</v>
      </c>
      <c r="E524" s="1">
        <v>42348</v>
      </c>
      <c r="F524" s="2">
        <v>4000000</v>
      </c>
      <c r="G524" s="1">
        <v>42348</v>
      </c>
      <c r="H524" s="1">
        <v>41626</v>
      </c>
    </row>
    <row r="525" spans="1:8" x14ac:dyDescent="0.25">
      <c r="A525" t="s">
        <v>334</v>
      </c>
      <c r="B525" t="s">
        <v>166</v>
      </c>
      <c r="C525" t="s">
        <v>372</v>
      </c>
      <c r="D525" t="s">
        <v>337</v>
      </c>
      <c r="E525" s="1">
        <v>42537</v>
      </c>
      <c r="F525" s="2">
        <v>19000000</v>
      </c>
      <c r="G525" s="1">
        <v>42537</v>
      </c>
      <c r="H525" s="1">
        <v>41626</v>
      </c>
    </row>
    <row r="526" spans="1:8" x14ac:dyDescent="0.25">
      <c r="A526" t="s">
        <v>334</v>
      </c>
      <c r="B526" t="s">
        <v>166</v>
      </c>
      <c r="C526" t="s">
        <v>372</v>
      </c>
      <c r="D526" t="s">
        <v>337</v>
      </c>
      <c r="E526" s="1">
        <v>42716</v>
      </c>
      <c r="F526" s="2">
        <v>19000000</v>
      </c>
      <c r="G526" s="1">
        <v>42716</v>
      </c>
      <c r="H526" s="1">
        <v>41626</v>
      </c>
    </row>
    <row r="527" spans="1:8" x14ac:dyDescent="0.25">
      <c r="A527" t="s">
        <v>334</v>
      </c>
      <c r="B527" t="s">
        <v>166</v>
      </c>
      <c r="C527" t="s">
        <v>372</v>
      </c>
      <c r="D527" t="s">
        <v>337</v>
      </c>
      <c r="E527" s="1">
        <v>42933</v>
      </c>
      <c r="F527" s="2">
        <v>31650000</v>
      </c>
      <c r="G527" s="1">
        <v>42933</v>
      </c>
      <c r="H527" s="1">
        <v>41626</v>
      </c>
    </row>
    <row r="528" spans="1:8" x14ac:dyDescent="0.25">
      <c r="A528" t="s">
        <v>334</v>
      </c>
      <c r="B528" t="s">
        <v>166</v>
      </c>
      <c r="C528" t="s">
        <v>372</v>
      </c>
      <c r="D528" t="s">
        <v>337</v>
      </c>
      <c r="E528" s="1">
        <v>43251</v>
      </c>
      <c r="F528" s="2">
        <v>57879826</v>
      </c>
      <c r="G528" s="1">
        <v>43251</v>
      </c>
      <c r="H528" s="1">
        <v>41626</v>
      </c>
    </row>
    <row r="529" spans="1:8" x14ac:dyDescent="0.25">
      <c r="A529" t="s">
        <v>334</v>
      </c>
      <c r="B529" t="s">
        <v>166</v>
      </c>
      <c r="C529" t="s">
        <v>372</v>
      </c>
      <c r="D529" t="s">
        <v>337</v>
      </c>
      <c r="E529" s="1">
        <v>43251</v>
      </c>
      <c r="F529" s="2">
        <v>5420174</v>
      </c>
      <c r="G529" s="1">
        <v>43251</v>
      </c>
      <c r="H529" s="1">
        <v>41626</v>
      </c>
    </row>
    <row r="530" spans="1:8" x14ac:dyDescent="0.25">
      <c r="A530" t="s">
        <v>334</v>
      </c>
      <c r="B530" t="s">
        <v>166</v>
      </c>
      <c r="C530" t="s">
        <v>372</v>
      </c>
      <c r="D530" t="s">
        <v>337</v>
      </c>
      <c r="E530" s="1">
        <v>43451</v>
      </c>
      <c r="F530" s="2">
        <v>31650000</v>
      </c>
      <c r="G530" s="1">
        <v>43451</v>
      </c>
      <c r="H530" s="1">
        <v>41626</v>
      </c>
    </row>
    <row r="531" spans="1:8" x14ac:dyDescent="0.25">
      <c r="A531" t="s">
        <v>334</v>
      </c>
      <c r="B531" t="s">
        <v>166</v>
      </c>
      <c r="C531" t="s">
        <v>372</v>
      </c>
      <c r="D531" t="s">
        <v>337</v>
      </c>
      <c r="E531" s="1">
        <v>43713</v>
      </c>
      <c r="F531" s="2">
        <v>20000000</v>
      </c>
      <c r="G531" s="1">
        <v>43713</v>
      </c>
      <c r="H531" s="1">
        <v>43705</v>
      </c>
    </row>
    <row r="532" spans="1:8" x14ac:dyDescent="0.25">
      <c r="A532" t="s">
        <v>334</v>
      </c>
      <c r="B532" t="s">
        <v>166</v>
      </c>
      <c r="C532" t="s">
        <v>372</v>
      </c>
      <c r="D532" t="s">
        <v>337</v>
      </c>
      <c r="E532" s="1">
        <v>43847</v>
      </c>
      <c r="F532" s="2">
        <v>20000000</v>
      </c>
      <c r="G532" s="1">
        <v>43847</v>
      </c>
      <c r="H532" s="1">
        <v>43705</v>
      </c>
    </row>
    <row r="533" spans="1:8" x14ac:dyDescent="0.25">
      <c r="A533" t="s">
        <v>334</v>
      </c>
      <c r="B533" t="s">
        <v>166</v>
      </c>
      <c r="C533" t="s">
        <v>372</v>
      </c>
      <c r="D533" t="s">
        <v>337</v>
      </c>
      <c r="E533" s="1">
        <v>44251</v>
      </c>
      <c r="F533" s="2">
        <v>40000000</v>
      </c>
      <c r="G533" s="1">
        <v>44251</v>
      </c>
      <c r="H533" s="1">
        <v>43705</v>
      </c>
    </row>
    <row r="534" spans="1:8" x14ac:dyDescent="0.25">
      <c r="A534" t="s">
        <v>334</v>
      </c>
      <c r="B534" t="s">
        <v>171</v>
      </c>
      <c r="C534" t="s">
        <v>373</v>
      </c>
      <c r="D534" t="s">
        <v>337</v>
      </c>
      <c r="E534" s="1">
        <v>39094</v>
      </c>
      <c r="F534" s="2">
        <v>4520000</v>
      </c>
      <c r="G534" s="1">
        <v>39094</v>
      </c>
      <c r="H534" s="1">
        <v>39069</v>
      </c>
    </row>
    <row r="535" spans="1:8" x14ac:dyDescent="0.25">
      <c r="A535" t="s">
        <v>334</v>
      </c>
      <c r="B535" t="s">
        <v>171</v>
      </c>
      <c r="C535" t="s">
        <v>373</v>
      </c>
      <c r="D535" t="s">
        <v>337</v>
      </c>
      <c r="E535" s="1">
        <v>39199</v>
      </c>
      <c r="F535" s="2">
        <v>1930000</v>
      </c>
      <c r="G535" s="1">
        <v>39199</v>
      </c>
      <c r="H535" s="1">
        <v>39069</v>
      </c>
    </row>
    <row r="536" spans="1:8" x14ac:dyDescent="0.25">
      <c r="A536" t="s">
        <v>334</v>
      </c>
      <c r="B536" t="s">
        <v>171</v>
      </c>
      <c r="C536" t="s">
        <v>373</v>
      </c>
      <c r="D536" t="s">
        <v>337</v>
      </c>
      <c r="E536" s="1">
        <v>39414</v>
      </c>
      <c r="F536" s="2">
        <v>1930000</v>
      </c>
      <c r="G536" s="1">
        <v>39414</v>
      </c>
      <c r="H536" s="1">
        <v>39069</v>
      </c>
    </row>
    <row r="537" spans="1:8" x14ac:dyDescent="0.25">
      <c r="A537" t="s">
        <v>334</v>
      </c>
      <c r="B537" t="s">
        <v>171</v>
      </c>
      <c r="C537" t="s">
        <v>373</v>
      </c>
      <c r="D537" t="s">
        <v>337</v>
      </c>
      <c r="E537" s="1">
        <v>39598</v>
      </c>
      <c r="F537" s="2">
        <v>1930000</v>
      </c>
      <c r="G537" s="1">
        <v>39598</v>
      </c>
      <c r="H537" s="1">
        <v>39069</v>
      </c>
    </row>
    <row r="538" spans="1:8" x14ac:dyDescent="0.25">
      <c r="A538" t="s">
        <v>334</v>
      </c>
      <c r="B538" t="s">
        <v>171</v>
      </c>
      <c r="C538" t="s">
        <v>373</v>
      </c>
      <c r="D538" t="s">
        <v>337</v>
      </c>
      <c r="E538" s="1">
        <v>40260</v>
      </c>
      <c r="F538" s="2">
        <v>11040000</v>
      </c>
      <c r="G538" s="1">
        <v>40260</v>
      </c>
      <c r="H538" s="1">
        <v>40252</v>
      </c>
    </row>
    <row r="539" spans="1:8" x14ac:dyDescent="0.25">
      <c r="A539" t="s">
        <v>334</v>
      </c>
      <c r="B539" t="s">
        <v>171</v>
      </c>
      <c r="C539" t="s">
        <v>373</v>
      </c>
      <c r="D539" t="s">
        <v>337</v>
      </c>
      <c r="E539" s="1">
        <v>40511</v>
      </c>
      <c r="F539" s="2">
        <v>11040000</v>
      </c>
      <c r="G539" s="1">
        <v>40511</v>
      </c>
      <c r="H539" s="1">
        <v>40252</v>
      </c>
    </row>
    <row r="540" spans="1:8" x14ac:dyDescent="0.25">
      <c r="A540" t="s">
        <v>334</v>
      </c>
      <c r="B540" t="s">
        <v>171</v>
      </c>
      <c r="C540" t="s">
        <v>373</v>
      </c>
      <c r="D540" t="s">
        <v>337</v>
      </c>
      <c r="E540" s="1">
        <v>40723</v>
      </c>
      <c r="F540" s="2">
        <v>11040000</v>
      </c>
      <c r="G540" s="1">
        <v>40723</v>
      </c>
      <c r="H540" s="1">
        <v>40252</v>
      </c>
    </row>
    <row r="541" spans="1:8" x14ac:dyDescent="0.25">
      <c r="A541" t="s">
        <v>334</v>
      </c>
      <c r="B541" t="s">
        <v>171</v>
      </c>
      <c r="C541" t="s">
        <v>373</v>
      </c>
      <c r="D541" t="s">
        <v>337</v>
      </c>
      <c r="E541" s="1">
        <v>40899</v>
      </c>
      <c r="F541" s="2">
        <v>11040000</v>
      </c>
      <c r="G541" s="1">
        <v>40899</v>
      </c>
      <c r="H541" s="1">
        <v>40252</v>
      </c>
    </row>
    <row r="542" spans="1:8" x14ac:dyDescent="0.25">
      <c r="A542" t="s">
        <v>334</v>
      </c>
      <c r="B542" t="s">
        <v>171</v>
      </c>
      <c r="C542" t="s">
        <v>373</v>
      </c>
      <c r="D542" t="s">
        <v>337</v>
      </c>
      <c r="E542" s="1">
        <v>41100</v>
      </c>
      <c r="F542" s="2">
        <v>11040000</v>
      </c>
      <c r="G542" s="1">
        <v>41100</v>
      </c>
      <c r="H542" s="1">
        <v>40252</v>
      </c>
    </row>
    <row r="543" spans="1:8" x14ac:dyDescent="0.25">
      <c r="A543" t="s">
        <v>334</v>
      </c>
      <c r="B543" t="s">
        <v>171</v>
      </c>
      <c r="C543" t="s">
        <v>373</v>
      </c>
      <c r="D543" t="s">
        <v>337</v>
      </c>
      <c r="E543" s="1">
        <v>41249</v>
      </c>
      <c r="F543" s="2">
        <v>11040000</v>
      </c>
      <c r="G543" s="1">
        <v>41249</v>
      </c>
      <c r="H543" s="1">
        <v>40252</v>
      </c>
    </row>
    <row r="544" spans="1:8" x14ac:dyDescent="0.25">
      <c r="A544" t="s">
        <v>334</v>
      </c>
      <c r="B544" t="s">
        <v>171</v>
      </c>
      <c r="C544" t="s">
        <v>373</v>
      </c>
      <c r="D544" t="s">
        <v>337</v>
      </c>
      <c r="E544" s="1">
        <v>41450</v>
      </c>
      <c r="F544" s="2">
        <v>11040000</v>
      </c>
      <c r="G544" s="1">
        <v>41450</v>
      </c>
      <c r="H544" s="1">
        <v>40252</v>
      </c>
    </row>
    <row r="545" spans="1:8" x14ac:dyDescent="0.25">
      <c r="A545" t="s">
        <v>334</v>
      </c>
      <c r="B545" t="s">
        <v>171</v>
      </c>
      <c r="C545" t="s">
        <v>373</v>
      </c>
      <c r="D545" t="s">
        <v>337</v>
      </c>
      <c r="E545" s="1">
        <v>43083</v>
      </c>
      <c r="F545" s="2">
        <v>16560000</v>
      </c>
      <c r="G545" s="1">
        <v>43083</v>
      </c>
      <c r="H545" s="1">
        <v>43075</v>
      </c>
    </row>
    <row r="546" spans="1:8" x14ac:dyDescent="0.25">
      <c r="A546" t="s">
        <v>334</v>
      </c>
      <c r="B546" t="s">
        <v>171</v>
      </c>
      <c r="C546" t="s">
        <v>373</v>
      </c>
      <c r="D546" t="s">
        <v>337</v>
      </c>
      <c r="E546" s="1">
        <v>43252</v>
      </c>
      <c r="F546" s="2">
        <v>16560000</v>
      </c>
      <c r="G546" s="1">
        <v>43252</v>
      </c>
      <c r="H546" s="1">
        <v>43075</v>
      </c>
    </row>
    <row r="547" spans="1:8" x14ac:dyDescent="0.25">
      <c r="A547" t="s">
        <v>334</v>
      </c>
      <c r="B547" t="s">
        <v>171</v>
      </c>
      <c r="C547" t="s">
        <v>373</v>
      </c>
      <c r="D547" t="s">
        <v>337</v>
      </c>
      <c r="E547" s="1">
        <v>43448</v>
      </c>
      <c r="F547" s="2">
        <v>16560000</v>
      </c>
      <c r="G547" s="1">
        <v>43448</v>
      </c>
      <c r="H547" s="1">
        <v>43075</v>
      </c>
    </row>
    <row r="548" spans="1:8" x14ac:dyDescent="0.25">
      <c r="A548" t="s">
        <v>334</v>
      </c>
      <c r="B548" t="s">
        <v>171</v>
      </c>
      <c r="C548" t="s">
        <v>373</v>
      </c>
      <c r="D548" t="s">
        <v>337</v>
      </c>
      <c r="E548" s="1">
        <v>43613</v>
      </c>
      <c r="F548" s="2">
        <v>16560000</v>
      </c>
      <c r="G548" s="1">
        <v>43613</v>
      </c>
      <c r="H548" s="1">
        <v>43075</v>
      </c>
    </row>
    <row r="549" spans="1:8" x14ac:dyDescent="0.25">
      <c r="A549" t="s">
        <v>334</v>
      </c>
      <c r="B549" t="s">
        <v>171</v>
      </c>
      <c r="C549" t="s">
        <v>373</v>
      </c>
      <c r="D549" t="s">
        <v>337</v>
      </c>
      <c r="E549" s="1">
        <v>43818</v>
      </c>
      <c r="F549" s="2">
        <v>16560000</v>
      </c>
      <c r="G549" s="1">
        <v>43818</v>
      </c>
      <c r="H549" s="1">
        <v>43075</v>
      </c>
    </row>
    <row r="550" spans="1:8" x14ac:dyDescent="0.25">
      <c r="A550" t="s">
        <v>334</v>
      </c>
      <c r="B550" t="s">
        <v>171</v>
      </c>
      <c r="C550" t="s">
        <v>373</v>
      </c>
      <c r="D550" t="s">
        <v>337</v>
      </c>
      <c r="E550" s="1">
        <v>44082</v>
      </c>
      <c r="F550" s="2">
        <v>36800000</v>
      </c>
      <c r="G550" s="1">
        <v>44082</v>
      </c>
      <c r="H550" s="1">
        <v>43075</v>
      </c>
    </row>
    <row r="551" spans="1:8" x14ac:dyDescent="0.25">
      <c r="A551" t="s">
        <v>334</v>
      </c>
      <c r="B551" t="s">
        <v>171</v>
      </c>
      <c r="C551" t="s">
        <v>373</v>
      </c>
      <c r="D551" t="s">
        <v>337</v>
      </c>
      <c r="E551" s="1">
        <v>44260</v>
      </c>
      <c r="F551" s="2">
        <v>16560000</v>
      </c>
      <c r="G551" s="1">
        <v>44260</v>
      </c>
      <c r="H551" s="1">
        <v>43075</v>
      </c>
    </row>
    <row r="552" spans="1:8" x14ac:dyDescent="0.25">
      <c r="A552" t="s">
        <v>339</v>
      </c>
      <c r="B552" t="s">
        <v>171</v>
      </c>
      <c r="C552" t="s">
        <v>373</v>
      </c>
      <c r="D552" t="s">
        <v>340</v>
      </c>
      <c r="E552" s="1">
        <v>44953</v>
      </c>
      <c r="F552" s="2">
        <v>10730000</v>
      </c>
      <c r="G552" s="1">
        <v>44953</v>
      </c>
      <c r="H552" s="1">
        <v>44951</v>
      </c>
    </row>
    <row r="553" spans="1:8" x14ac:dyDescent="0.25">
      <c r="A553" t="s">
        <v>334</v>
      </c>
      <c r="B553" t="s">
        <v>171</v>
      </c>
      <c r="C553" t="s">
        <v>373</v>
      </c>
      <c r="D553" t="s">
        <v>337</v>
      </c>
      <c r="E553" s="1">
        <v>44953</v>
      </c>
      <c r="F553" s="2">
        <v>5370000</v>
      </c>
      <c r="G553" s="1">
        <v>44953</v>
      </c>
      <c r="H553" s="1">
        <v>44951</v>
      </c>
    </row>
    <row r="554" spans="1:8" x14ac:dyDescent="0.25">
      <c r="A554" t="s">
        <v>339</v>
      </c>
      <c r="B554" t="s">
        <v>171</v>
      </c>
      <c r="C554" t="s">
        <v>373</v>
      </c>
      <c r="D554" t="s">
        <v>340</v>
      </c>
      <c r="E554" s="1">
        <v>45281</v>
      </c>
      <c r="F554" s="2">
        <v>10730000</v>
      </c>
      <c r="G554" s="1">
        <v>45281</v>
      </c>
      <c r="H554" s="1">
        <v>44951</v>
      </c>
    </row>
    <row r="555" spans="1:8" x14ac:dyDescent="0.25">
      <c r="A555" t="s">
        <v>334</v>
      </c>
      <c r="B555" t="s">
        <v>171</v>
      </c>
      <c r="C555" t="s">
        <v>373</v>
      </c>
      <c r="D555" t="s">
        <v>337</v>
      </c>
      <c r="E555" s="1">
        <v>45281</v>
      </c>
      <c r="F555" s="2">
        <v>5370000</v>
      </c>
      <c r="G555" s="1">
        <v>45281</v>
      </c>
      <c r="H555" s="1">
        <v>44951</v>
      </c>
    </row>
    <row r="556" spans="1:8" x14ac:dyDescent="0.25">
      <c r="A556" t="s">
        <v>334</v>
      </c>
      <c r="B556" t="s">
        <v>171</v>
      </c>
      <c r="C556" t="s">
        <v>373</v>
      </c>
      <c r="D556" t="s">
        <v>337</v>
      </c>
      <c r="E556" s="1">
        <v>45449</v>
      </c>
      <c r="F556" s="2">
        <v>2150000</v>
      </c>
      <c r="G556" s="1">
        <v>45449</v>
      </c>
      <c r="H556" s="1">
        <v>44951</v>
      </c>
    </row>
    <row r="557" spans="1:8" x14ac:dyDescent="0.25">
      <c r="A557" t="s">
        <v>339</v>
      </c>
      <c r="B557" t="s">
        <v>171</v>
      </c>
      <c r="C557" t="s">
        <v>373</v>
      </c>
      <c r="D557" t="s">
        <v>340</v>
      </c>
      <c r="E557" s="1">
        <v>45449</v>
      </c>
      <c r="F557" s="2">
        <v>4290000</v>
      </c>
      <c r="G557" s="1">
        <v>45449</v>
      </c>
      <c r="H557" s="1">
        <v>44951</v>
      </c>
    </row>
    <row r="558" spans="1:8" x14ac:dyDescent="0.25">
      <c r="A558" t="s">
        <v>334</v>
      </c>
      <c r="B558" t="s">
        <v>171</v>
      </c>
      <c r="C558" t="s">
        <v>373</v>
      </c>
      <c r="D558" t="s">
        <v>337</v>
      </c>
      <c r="E558" s="1">
        <v>45646</v>
      </c>
      <c r="F558" s="2">
        <v>2150000</v>
      </c>
      <c r="G558" s="1">
        <v>45646</v>
      </c>
      <c r="H558" s="1">
        <v>44951</v>
      </c>
    </row>
    <row r="559" spans="1:8" x14ac:dyDescent="0.25">
      <c r="A559" t="s">
        <v>339</v>
      </c>
      <c r="B559" t="s">
        <v>171</v>
      </c>
      <c r="C559" t="s">
        <v>373</v>
      </c>
      <c r="D559" t="s">
        <v>340</v>
      </c>
      <c r="E559" s="1">
        <v>45646</v>
      </c>
      <c r="F559" s="2">
        <v>4290000</v>
      </c>
      <c r="G559" s="1">
        <v>45646</v>
      </c>
      <c r="H559" s="1">
        <v>44951</v>
      </c>
    </row>
    <row r="560" spans="1:8" x14ac:dyDescent="0.25">
      <c r="A560" t="s">
        <v>334</v>
      </c>
      <c r="B560" t="s">
        <v>374</v>
      </c>
      <c r="C560" t="s">
        <v>375</v>
      </c>
      <c r="D560" t="s">
        <v>337</v>
      </c>
      <c r="E560" s="1">
        <v>38847</v>
      </c>
      <c r="F560" s="2">
        <v>11440000</v>
      </c>
      <c r="G560" s="1">
        <v>38847</v>
      </c>
      <c r="H560" s="1">
        <v>38842</v>
      </c>
    </row>
    <row r="561" spans="1:8" x14ac:dyDescent="0.25">
      <c r="A561" t="s">
        <v>334</v>
      </c>
      <c r="B561" t="s">
        <v>374</v>
      </c>
      <c r="C561" t="s">
        <v>375</v>
      </c>
      <c r="D561" t="s">
        <v>337</v>
      </c>
      <c r="E561" s="1">
        <v>39072</v>
      </c>
      <c r="F561" s="2">
        <v>31970000</v>
      </c>
      <c r="G561" s="1">
        <v>39072</v>
      </c>
      <c r="H561" s="1">
        <v>38842</v>
      </c>
    </row>
    <row r="562" spans="1:8" x14ac:dyDescent="0.25">
      <c r="A562" t="s">
        <v>334</v>
      </c>
      <c r="B562" t="s">
        <v>374</v>
      </c>
      <c r="C562" t="s">
        <v>375</v>
      </c>
      <c r="D562" t="s">
        <v>337</v>
      </c>
      <c r="E562" s="1">
        <v>39293</v>
      </c>
      <c r="F562" s="2">
        <v>21710000</v>
      </c>
      <c r="G562" s="1">
        <v>39293</v>
      </c>
      <c r="H562" s="1">
        <v>38842</v>
      </c>
    </row>
    <row r="563" spans="1:8" x14ac:dyDescent="0.25">
      <c r="A563" t="s">
        <v>334</v>
      </c>
      <c r="B563" t="s">
        <v>374</v>
      </c>
      <c r="C563" t="s">
        <v>375</v>
      </c>
      <c r="D563" t="s">
        <v>337</v>
      </c>
      <c r="E563" s="1">
        <v>39535</v>
      </c>
      <c r="F563" s="2">
        <v>11440000</v>
      </c>
      <c r="G563" s="1">
        <v>39535</v>
      </c>
      <c r="H563" s="1">
        <v>38842</v>
      </c>
    </row>
    <row r="564" spans="1:8" x14ac:dyDescent="0.25">
      <c r="A564" t="s">
        <v>334</v>
      </c>
      <c r="B564" t="s">
        <v>374</v>
      </c>
      <c r="C564" t="s">
        <v>375</v>
      </c>
      <c r="D564" t="s">
        <v>337</v>
      </c>
      <c r="E564" s="1">
        <v>39657</v>
      </c>
      <c r="F564" s="2">
        <v>11440000</v>
      </c>
      <c r="G564" s="1">
        <v>39657</v>
      </c>
      <c r="H564" s="1">
        <v>38842</v>
      </c>
    </row>
    <row r="565" spans="1:8" x14ac:dyDescent="0.25">
      <c r="A565" t="s">
        <v>339</v>
      </c>
      <c r="B565" t="s">
        <v>374</v>
      </c>
      <c r="C565" t="s">
        <v>375</v>
      </c>
      <c r="D565" t="s">
        <v>340</v>
      </c>
      <c r="E565" s="1">
        <v>40211</v>
      </c>
      <c r="F565" s="2">
        <v>20000000</v>
      </c>
      <c r="G565" s="1">
        <v>40211</v>
      </c>
      <c r="H565" s="1">
        <v>40207</v>
      </c>
    </row>
    <row r="566" spans="1:8" x14ac:dyDescent="0.25">
      <c r="A566" t="s">
        <v>334</v>
      </c>
      <c r="B566" t="s">
        <v>374</v>
      </c>
      <c r="C566" t="s">
        <v>375</v>
      </c>
      <c r="D566" t="s">
        <v>337</v>
      </c>
      <c r="E566" s="1">
        <v>40217</v>
      </c>
      <c r="F566" s="2">
        <v>40000000</v>
      </c>
      <c r="G566" s="1">
        <v>40217</v>
      </c>
      <c r="H566" s="1">
        <v>40207</v>
      </c>
    </row>
    <row r="567" spans="1:8" x14ac:dyDescent="0.25">
      <c r="A567" t="s">
        <v>339</v>
      </c>
      <c r="B567" t="s">
        <v>374</v>
      </c>
      <c r="C567" t="s">
        <v>375</v>
      </c>
      <c r="D567" t="s">
        <v>340</v>
      </c>
      <c r="E567" s="1">
        <v>40379</v>
      </c>
      <c r="F567" s="2">
        <v>20000000</v>
      </c>
      <c r="G567" s="1">
        <v>40379</v>
      </c>
      <c r="H567" s="1">
        <v>40207</v>
      </c>
    </row>
    <row r="568" spans="1:8" x14ac:dyDescent="0.25">
      <c r="A568" t="s">
        <v>334</v>
      </c>
      <c r="B568" t="s">
        <v>374</v>
      </c>
      <c r="C568" t="s">
        <v>375</v>
      </c>
      <c r="D568" t="s">
        <v>337</v>
      </c>
      <c r="E568" s="1">
        <v>40392</v>
      </c>
      <c r="F568" s="2">
        <v>40000000</v>
      </c>
      <c r="G568" s="1">
        <v>40392</v>
      </c>
      <c r="H568" s="1">
        <v>40207</v>
      </c>
    </row>
    <row r="569" spans="1:8" x14ac:dyDescent="0.25">
      <c r="A569" t="s">
        <v>339</v>
      </c>
      <c r="B569" t="s">
        <v>374</v>
      </c>
      <c r="C569" t="s">
        <v>375</v>
      </c>
      <c r="D569" t="s">
        <v>340</v>
      </c>
      <c r="E569" s="1">
        <v>40641</v>
      </c>
      <c r="F569" s="2">
        <v>10000000</v>
      </c>
      <c r="G569" s="1">
        <v>40641</v>
      </c>
      <c r="H569" s="1">
        <v>40207</v>
      </c>
    </row>
    <row r="570" spans="1:8" x14ac:dyDescent="0.25">
      <c r="A570" t="s">
        <v>334</v>
      </c>
      <c r="B570" t="s">
        <v>374</v>
      </c>
      <c r="C570" t="s">
        <v>375</v>
      </c>
      <c r="D570" t="s">
        <v>337</v>
      </c>
      <c r="E570" s="1">
        <v>40653</v>
      </c>
      <c r="F570" s="2">
        <v>40000000</v>
      </c>
      <c r="G570" s="1">
        <v>40653</v>
      </c>
      <c r="H570" s="1">
        <v>40207</v>
      </c>
    </row>
    <row r="571" spans="1:8" x14ac:dyDescent="0.25">
      <c r="A571" t="s">
        <v>334</v>
      </c>
      <c r="B571" t="s">
        <v>374</v>
      </c>
      <c r="C571" t="s">
        <v>375</v>
      </c>
      <c r="D571" t="s">
        <v>337</v>
      </c>
      <c r="E571" s="1">
        <v>40739</v>
      </c>
      <c r="F571" s="2">
        <v>20000000</v>
      </c>
      <c r="G571" s="1">
        <v>40739</v>
      </c>
      <c r="H571" s="1">
        <v>40207</v>
      </c>
    </row>
    <row r="572" spans="1:8" x14ac:dyDescent="0.25">
      <c r="A572" t="s">
        <v>339</v>
      </c>
      <c r="B572" t="s">
        <v>374</v>
      </c>
      <c r="C572" t="s">
        <v>375</v>
      </c>
      <c r="D572" t="s">
        <v>340</v>
      </c>
      <c r="E572" s="1">
        <v>40739</v>
      </c>
      <c r="F572" s="2">
        <v>30000000</v>
      </c>
      <c r="G572" s="1">
        <v>40739</v>
      </c>
      <c r="H572" s="1">
        <v>40207</v>
      </c>
    </row>
    <row r="573" spans="1:8" x14ac:dyDescent="0.25">
      <c r="A573" t="s">
        <v>339</v>
      </c>
      <c r="B573" t="s">
        <v>374</v>
      </c>
      <c r="C573" t="s">
        <v>375</v>
      </c>
      <c r="D573" t="s">
        <v>340</v>
      </c>
      <c r="E573" s="1">
        <v>40942</v>
      </c>
      <c r="F573" s="2">
        <v>33040000</v>
      </c>
      <c r="G573" s="1">
        <v>40942</v>
      </c>
      <c r="H573" s="1">
        <v>40207</v>
      </c>
    </row>
    <row r="574" spans="1:8" x14ac:dyDescent="0.25">
      <c r="A574" t="s">
        <v>334</v>
      </c>
      <c r="B574" t="s">
        <v>374</v>
      </c>
      <c r="C574" t="s">
        <v>375</v>
      </c>
      <c r="D574" t="s">
        <v>337</v>
      </c>
      <c r="E574" s="1">
        <v>40948</v>
      </c>
      <c r="F574" s="2">
        <v>16960000</v>
      </c>
      <c r="G574" s="1">
        <v>40948</v>
      </c>
      <c r="H574" s="1">
        <v>40207</v>
      </c>
    </row>
    <row r="575" spans="1:8" x14ac:dyDescent="0.25">
      <c r="A575" t="s">
        <v>339</v>
      </c>
      <c r="B575" t="s">
        <v>374</v>
      </c>
      <c r="C575" t="s">
        <v>375</v>
      </c>
      <c r="D575" t="s">
        <v>340</v>
      </c>
      <c r="E575" s="1">
        <v>41184</v>
      </c>
      <c r="F575" s="2">
        <v>36080000</v>
      </c>
      <c r="G575" s="1">
        <v>41184</v>
      </c>
      <c r="H575" s="1">
        <v>40207</v>
      </c>
    </row>
    <row r="576" spans="1:8" x14ac:dyDescent="0.25">
      <c r="A576" t="s">
        <v>334</v>
      </c>
      <c r="B576" t="s">
        <v>374</v>
      </c>
      <c r="C576" t="s">
        <v>375</v>
      </c>
      <c r="D576" t="s">
        <v>337</v>
      </c>
      <c r="E576" s="1">
        <v>41187</v>
      </c>
      <c r="F576" s="2">
        <v>13920000</v>
      </c>
      <c r="G576" s="1">
        <v>41187</v>
      </c>
      <c r="H576" s="1">
        <v>40207</v>
      </c>
    </row>
    <row r="577" spans="1:8" x14ac:dyDescent="0.25">
      <c r="A577" t="s">
        <v>339</v>
      </c>
      <c r="B577" t="s">
        <v>374</v>
      </c>
      <c r="C577" t="s">
        <v>375</v>
      </c>
      <c r="D577" t="s">
        <v>340</v>
      </c>
      <c r="E577" s="1">
        <v>42683</v>
      </c>
      <c r="F577" s="2">
        <v>17300000</v>
      </c>
      <c r="G577" s="1">
        <v>42683</v>
      </c>
      <c r="H577" s="1">
        <v>42681</v>
      </c>
    </row>
    <row r="578" spans="1:8" x14ac:dyDescent="0.25">
      <c r="A578" t="s">
        <v>334</v>
      </c>
      <c r="B578" t="s">
        <v>374</v>
      </c>
      <c r="C578" t="s">
        <v>375</v>
      </c>
      <c r="D578" t="s">
        <v>337</v>
      </c>
      <c r="E578" s="1">
        <v>42689</v>
      </c>
      <c r="F578" s="2">
        <v>8700000</v>
      </c>
      <c r="G578" s="1">
        <v>42689</v>
      </c>
      <c r="H578" s="1">
        <v>42681</v>
      </c>
    </row>
    <row r="579" spans="1:8" x14ac:dyDescent="0.25">
      <c r="A579" t="s">
        <v>339</v>
      </c>
      <c r="B579" t="s">
        <v>374</v>
      </c>
      <c r="C579" t="s">
        <v>375</v>
      </c>
      <c r="D579" t="s">
        <v>340</v>
      </c>
      <c r="E579" s="1">
        <v>42853</v>
      </c>
      <c r="F579" s="2">
        <v>10500000</v>
      </c>
      <c r="G579" s="1">
        <v>42853</v>
      </c>
      <c r="H579" s="1">
        <v>42681</v>
      </c>
    </row>
    <row r="580" spans="1:8" x14ac:dyDescent="0.25">
      <c r="A580" t="s">
        <v>334</v>
      </c>
      <c r="B580" t="s">
        <v>374</v>
      </c>
      <c r="C580" t="s">
        <v>375</v>
      </c>
      <c r="D580" t="s">
        <v>337</v>
      </c>
      <c r="E580" s="1">
        <v>42864</v>
      </c>
      <c r="F580" s="2">
        <v>5200000</v>
      </c>
      <c r="G580" s="1">
        <v>42864</v>
      </c>
      <c r="H580" s="1">
        <v>42681</v>
      </c>
    </row>
    <row r="581" spans="1:8" x14ac:dyDescent="0.25">
      <c r="A581" t="s">
        <v>339</v>
      </c>
      <c r="B581" t="s">
        <v>374</v>
      </c>
      <c r="C581" t="s">
        <v>375</v>
      </c>
      <c r="D581" t="s">
        <v>340</v>
      </c>
      <c r="E581" s="1">
        <v>43091</v>
      </c>
      <c r="F581" s="2">
        <v>10500000</v>
      </c>
      <c r="G581" s="1">
        <v>43091</v>
      </c>
      <c r="H581" s="1">
        <v>42681</v>
      </c>
    </row>
    <row r="582" spans="1:8" x14ac:dyDescent="0.25">
      <c r="A582" t="s">
        <v>334</v>
      </c>
      <c r="B582" t="s">
        <v>374</v>
      </c>
      <c r="C582" t="s">
        <v>375</v>
      </c>
      <c r="D582" t="s">
        <v>337</v>
      </c>
      <c r="E582" s="1">
        <v>43098</v>
      </c>
      <c r="F582" s="2">
        <v>5200000</v>
      </c>
      <c r="G582" s="1">
        <v>43098</v>
      </c>
      <c r="H582" s="1">
        <v>42681</v>
      </c>
    </row>
    <row r="583" spans="1:8" x14ac:dyDescent="0.25">
      <c r="A583" t="s">
        <v>339</v>
      </c>
      <c r="B583" t="s">
        <v>374</v>
      </c>
      <c r="C583" t="s">
        <v>375</v>
      </c>
      <c r="D583" t="s">
        <v>340</v>
      </c>
      <c r="E583" s="1">
        <v>43280</v>
      </c>
      <c r="F583" s="2">
        <v>16000000</v>
      </c>
      <c r="G583" s="1">
        <v>43280</v>
      </c>
      <c r="H583" s="1">
        <v>42681</v>
      </c>
    </row>
    <row r="584" spans="1:8" x14ac:dyDescent="0.25">
      <c r="A584" t="s">
        <v>334</v>
      </c>
      <c r="B584" t="s">
        <v>374</v>
      </c>
      <c r="C584" t="s">
        <v>375</v>
      </c>
      <c r="D584" t="s">
        <v>337</v>
      </c>
      <c r="E584" s="1">
        <v>43286</v>
      </c>
      <c r="F584" s="2">
        <v>8000000</v>
      </c>
      <c r="G584" s="1">
        <v>43286</v>
      </c>
      <c r="H584" s="1">
        <v>42681</v>
      </c>
    </row>
    <row r="585" spans="1:8" x14ac:dyDescent="0.25">
      <c r="A585" t="s">
        <v>339</v>
      </c>
      <c r="B585" t="s">
        <v>374</v>
      </c>
      <c r="C585" t="s">
        <v>375</v>
      </c>
      <c r="D585" t="s">
        <v>340</v>
      </c>
      <c r="E585" s="1">
        <v>43732</v>
      </c>
      <c r="F585" s="2">
        <v>22400000</v>
      </c>
      <c r="G585" s="1">
        <v>43732</v>
      </c>
      <c r="H585" s="1">
        <v>42681</v>
      </c>
    </row>
    <row r="586" spans="1:8" x14ac:dyDescent="0.25">
      <c r="A586" t="s">
        <v>334</v>
      </c>
      <c r="B586" t="s">
        <v>374</v>
      </c>
      <c r="C586" t="s">
        <v>375</v>
      </c>
      <c r="D586" t="s">
        <v>337</v>
      </c>
      <c r="E586" s="1">
        <v>43738</v>
      </c>
      <c r="F586" s="2">
        <v>11200000</v>
      </c>
      <c r="G586" s="1">
        <v>43738</v>
      </c>
      <c r="H586" s="1">
        <v>42681</v>
      </c>
    </row>
    <row r="587" spans="1:8" x14ac:dyDescent="0.25">
      <c r="A587" t="s">
        <v>339</v>
      </c>
      <c r="B587" t="s">
        <v>374</v>
      </c>
      <c r="C587" t="s">
        <v>375</v>
      </c>
      <c r="D587" t="s">
        <v>340</v>
      </c>
      <c r="E587" s="1">
        <v>43903</v>
      </c>
      <c r="F587" s="2">
        <v>9600000</v>
      </c>
      <c r="G587" s="1">
        <v>43903</v>
      </c>
      <c r="H587" s="1">
        <v>42681</v>
      </c>
    </row>
    <row r="588" spans="1:8" x14ac:dyDescent="0.25">
      <c r="A588" t="s">
        <v>334</v>
      </c>
      <c r="B588" t="s">
        <v>374</v>
      </c>
      <c r="C588" t="s">
        <v>375</v>
      </c>
      <c r="D588" t="s">
        <v>337</v>
      </c>
      <c r="E588" s="1">
        <v>43909</v>
      </c>
      <c r="F588" s="2">
        <v>4800000</v>
      </c>
      <c r="G588" s="1">
        <v>43909</v>
      </c>
      <c r="H588" s="1">
        <v>42681</v>
      </c>
    </row>
    <row r="589" spans="1:8" x14ac:dyDescent="0.25">
      <c r="A589" t="s">
        <v>334</v>
      </c>
      <c r="B589" t="s">
        <v>374</v>
      </c>
      <c r="C589" t="s">
        <v>375</v>
      </c>
      <c r="D589" t="s">
        <v>337</v>
      </c>
      <c r="E589" s="1">
        <v>44552</v>
      </c>
      <c r="F589" s="2">
        <v>19050000</v>
      </c>
      <c r="G589" s="1">
        <v>44552</v>
      </c>
      <c r="H589" s="1">
        <v>44550</v>
      </c>
    </row>
    <row r="590" spans="1:8" x14ac:dyDescent="0.25">
      <c r="A590" t="s">
        <v>339</v>
      </c>
      <c r="B590" t="s">
        <v>374</v>
      </c>
      <c r="C590" t="s">
        <v>375</v>
      </c>
      <c r="D590" t="s">
        <v>340</v>
      </c>
      <c r="E590" s="1">
        <v>44552</v>
      </c>
      <c r="F590" s="2">
        <v>38100000</v>
      </c>
      <c r="G590" s="1">
        <v>44552</v>
      </c>
      <c r="H590" s="1">
        <v>44550</v>
      </c>
    </row>
    <row r="591" spans="1:8" x14ac:dyDescent="0.25">
      <c r="A591" t="s">
        <v>339</v>
      </c>
      <c r="B591" t="s">
        <v>374</v>
      </c>
      <c r="C591" t="s">
        <v>375</v>
      </c>
      <c r="D591" t="s">
        <v>340</v>
      </c>
      <c r="E591" s="1">
        <v>44694</v>
      </c>
      <c r="F591" s="2">
        <v>43400000</v>
      </c>
      <c r="G591" s="1">
        <v>44694</v>
      </c>
      <c r="H591" s="1">
        <v>44550</v>
      </c>
    </row>
    <row r="592" spans="1:8" x14ac:dyDescent="0.25">
      <c r="A592" t="s">
        <v>334</v>
      </c>
      <c r="B592" t="s">
        <v>374</v>
      </c>
      <c r="C592" t="s">
        <v>375</v>
      </c>
      <c r="D592" t="s">
        <v>337</v>
      </c>
      <c r="E592" s="1">
        <v>44694</v>
      </c>
      <c r="F592" s="2">
        <v>64750000</v>
      </c>
      <c r="G592" s="1">
        <v>44694</v>
      </c>
      <c r="H592" s="1">
        <v>44550</v>
      </c>
    </row>
    <row r="593" spans="1:8" x14ac:dyDescent="0.25">
      <c r="A593" t="s">
        <v>339</v>
      </c>
      <c r="B593" t="s">
        <v>374</v>
      </c>
      <c r="C593" t="s">
        <v>375</v>
      </c>
      <c r="D593" t="s">
        <v>340</v>
      </c>
      <c r="E593" s="1">
        <v>44827</v>
      </c>
      <c r="F593" s="2">
        <v>11125000</v>
      </c>
      <c r="G593" s="1">
        <v>44827</v>
      </c>
      <c r="H593" s="1">
        <v>44550</v>
      </c>
    </row>
    <row r="594" spans="1:8" x14ac:dyDescent="0.25">
      <c r="A594" t="s">
        <v>334</v>
      </c>
      <c r="B594" t="s">
        <v>374</v>
      </c>
      <c r="C594" t="s">
        <v>375</v>
      </c>
      <c r="D594" t="s">
        <v>337</v>
      </c>
      <c r="E594" s="1">
        <v>44827</v>
      </c>
      <c r="F594" s="2">
        <v>9525000</v>
      </c>
      <c r="G594" s="1">
        <v>44827</v>
      </c>
      <c r="H594" s="1">
        <v>44550</v>
      </c>
    </row>
    <row r="595" spans="1:8" x14ac:dyDescent="0.25">
      <c r="A595" t="s">
        <v>334</v>
      </c>
      <c r="B595" t="s">
        <v>374</v>
      </c>
      <c r="C595" t="s">
        <v>375</v>
      </c>
      <c r="D595" t="s">
        <v>337</v>
      </c>
      <c r="E595" s="1">
        <v>44937</v>
      </c>
      <c r="F595" s="2">
        <v>9525000</v>
      </c>
      <c r="G595" s="1">
        <v>44937</v>
      </c>
      <c r="H595" s="1">
        <v>44550</v>
      </c>
    </row>
    <row r="596" spans="1:8" x14ac:dyDescent="0.25">
      <c r="A596" t="s">
        <v>339</v>
      </c>
      <c r="B596" t="s">
        <v>374</v>
      </c>
      <c r="C596" t="s">
        <v>375</v>
      </c>
      <c r="D596" t="s">
        <v>340</v>
      </c>
      <c r="E596" s="1">
        <v>44937</v>
      </c>
      <c r="F596" s="2">
        <v>11125000</v>
      </c>
      <c r="G596" s="1">
        <v>44937</v>
      </c>
      <c r="H596" s="1">
        <v>44550</v>
      </c>
    </row>
    <row r="597" spans="1:8" x14ac:dyDescent="0.25">
      <c r="A597" t="s">
        <v>334</v>
      </c>
      <c r="B597" t="s">
        <v>374</v>
      </c>
      <c r="C597" t="s">
        <v>375</v>
      </c>
      <c r="D597" t="s">
        <v>337</v>
      </c>
      <c r="E597" s="1">
        <v>45044</v>
      </c>
      <c r="F597" s="2">
        <v>19050000</v>
      </c>
      <c r="G597" s="1">
        <v>45044</v>
      </c>
      <c r="H597" s="1">
        <v>44550</v>
      </c>
    </row>
    <row r="598" spans="1:8" x14ac:dyDescent="0.25">
      <c r="A598" t="s">
        <v>339</v>
      </c>
      <c r="B598" t="s">
        <v>374</v>
      </c>
      <c r="C598" t="s">
        <v>375</v>
      </c>
      <c r="D598" t="s">
        <v>340</v>
      </c>
      <c r="E598" s="1">
        <v>45044</v>
      </c>
      <c r="F598" s="2">
        <v>51900000</v>
      </c>
      <c r="G598" s="1">
        <v>45044</v>
      </c>
      <c r="H598" s="1">
        <v>44550</v>
      </c>
    </row>
    <row r="599" spans="1:8" x14ac:dyDescent="0.25">
      <c r="A599" t="s">
        <v>334</v>
      </c>
      <c r="B599" t="s">
        <v>374</v>
      </c>
      <c r="C599" t="s">
        <v>375</v>
      </c>
      <c r="D599" t="s">
        <v>337</v>
      </c>
      <c r="E599" s="1">
        <v>45268</v>
      </c>
      <c r="F599" s="2">
        <v>19050000</v>
      </c>
      <c r="G599" s="1">
        <v>45268</v>
      </c>
      <c r="H599" s="1">
        <v>44550</v>
      </c>
    </row>
    <row r="600" spans="1:8" x14ac:dyDescent="0.25">
      <c r="A600" t="s">
        <v>339</v>
      </c>
      <c r="B600" t="s">
        <v>374</v>
      </c>
      <c r="C600" t="s">
        <v>375</v>
      </c>
      <c r="D600" t="s">
        <v>340</v>
      </c>
      <c r="E600" s="1">
        <v>45268</v>
      </c>
      <c r="F600" s="2">
        <v>51900000</v>
      </c>
      <c r="G600" s="1">
        <v>45268</v>
      </c>
      <c r="H600" s="1">
        <v>44550</v>
      </c>
    </row>
    <row r="601" spans="1:8" x14ac:dyDescent="0.25">
      <c r="A601" t="s">
        <v>334</v>
      </c>
      <c r="B601" t="s">
        <v>374</v>
      </c>
      <c r="C601" t="s">
        <v>375</v>
      </c>
      <c r="D601" t="s">
        <v>337</v>
      </c>
      <c r="E601" s="1">
        <v>45475</v>
      </c>
      <c r="F601" s="2">
        <v>19050000</v>
      </c>
      <c r="G601" s="1">
        <v>45475</v>
      </c>
      <c r="H601" s="1">
        <v>44550</v>
      </c>
    </row>
    <row r="602" spans="1:8" x14ac:dyDescent="0.25">
      <c r="A602" t="s">
        <v>339</v>
      </c>
      <c r="B602" t="s">
        <v>374</v>
      </c>
      <c r="C602" t="s">
        <v>375</v>
      </c>
      <c r="D602" t="s">
        <v>340</v>
      </c>
      <c r="E602" s="1">
        <v>45475</v>
      </c>
      <c r="F602" s="2">
        <v>81550000</v>
      </c>
      <c r="G602" s="1">
        <v>45475</v>
      </c>
      <c r="H602" s="1">
        <v>44550</v>
      </c>
    </row>
    <row r="603" spans="1:8" x14ac:dyDescent="0.25">
      <c r="A603" t="s">
        <v>339</v>
      </c>
      <c r="B603" t="s">
        <v>374</v>
      </c>
      <c r="C603" t="s">
        <v>375</v>
      </c>
      <c r="D603" t="s">
        <v>340</v>
      </c>
      <c r="E603" s="1">
        <v>45645</v>
      </c>
      <c r="F603" s="2">
        <v>81550000</v>
      </c>
      <c r="G603" s="1">
        <v>45645</v>
      </c>
      <c r="H603" s="1">
        <v>44550</v>
      </c>
    </row>
    <row r="604" spans="1:8" x14ac:dyDescent="0.25">
      <c r="A604" t="s">
        <v>334</v>
      </c>
      <c r="B604" t="s">
        <v>374</v>
      </c>
      <c r="C604" t="s">
        <v>375</v>
      </c>
      <c r="D604" t="s">
        <v>337</v>
      </c>
      <c r="E604" s="1">
        <v>45645</v>
      </c>
      <c r="F604" s="2">
        <v>19050000</v>
      </c>
      <c r="G604" s="1">
        <v>45645</v>
      </c>
      <c r="H604" s="1">
        <v>44550</v>
      </c>
    </row>
    <row r="605" spans="1:8" x14ac:dyDescent="0.25">
      <c r="A605" t="s">
        <v>334</v>
      </c>
      <c r="B605" t="s">
        <v>175</v>
      </c>
      <c r="C605" t="s">
        <v>376</v>
      </c>
      <c r="D605" t="s">
        <v>337</v>
      </c>
      <c r="E605" s="1">
        <v>38405</v>
      </c>
      <c r="F605" s="2">
        <v>1620000</v>
      </c>
      <c r="G605" s="1">
        <v>38405</v>
      </c>
      <c r="H605" s="1">
        <v>38174</v>
      </c>
    </row>
    <row r="606" spans="1:8" x14ac:dyDescent="0.25">
      <c r="A606" t="s">
        <v>334</v>
      </c>
      <c r="B606" t="s">
        <v>175</v>
      </c>
      <c r="C606" t="s">
        <v>376</v>
      </c>
      <c r="D606" t="s">
        <v>337</v>
      </c>
      <c r="E606" s="1">
        <v>38540</v>
      </c>
      <c r="F606" s="2">
        <v>1620000</v>
      </c>
      <c r="G606" s="1">
        <v>38540</v>
      </c>
      <c r="H606" s="1">
        <v>38174</v>
      </c>
    </row>
    <row r="607" spans="1:8" x14ac:dyDescent="0.25">
      <c r="A607" t="s">
        <v>334</v>
      </c>
      <c r="B607" t="s">
        <v>175</v>
      </c>
      <c r="C607" t="s">
        <v>376</v>
      </c>
      <c r="D607" t="s">
        <v>337</v>
      </c>
      <c r="E607" s="1">
        <v>38730</v>
      </c>
      <c r="F607" s="2">
        <v>1620000</v>
      </c>
      <c r="G607" s="1">
        <v>38730</v>
      </c>
      <c r="H607" s="1">
        <v>38174</v>
      </c>
    </row>
    <row r="608" spans="1:8" x14ac:dyDescent="0.25">
      <c r="A608" t="s">
        <v>334</v>
      </c>
      <c r="B608" t="s">
        <v>175</v>
      </c>
      <c r="C608" t="s">
        <v>376</v>
      </c>
      <c r="D608" t="s">
        <v>337</v>
      </c>
      <c r="E608" s="1">
        <v>38895</v>
      </c>
      <c r="F608" s="2">
        <v>1620000</v>
      </c>
      <c r="G608" s="1">
        <v>38895</v>
      </c>
      <c r="H608" s="1">
        <v>38174</v>
      </c>
    </row>
    <row r="609" spans="1:8" x14ac:dyDescent="0.25">
      <c r="A609" t="s">
        <v>334</v>
      </c>
      <c r="B609" t="s">
        <v>175</v>
      </c>
      <c r="C609" t="s">
        <v>376</v>
      </c>
      <c r="D609" t="s">
        <v>337</v>
      </c>
      <c r="E609" s="1">
        <v>39094</v>
      </c>
      <c r="F609" s="2">
        <v>1620000</v>
      </c>
      <c r="G609" s="1">
        <v>39094</v>
      </c>
      <c r="H609" s="1">
        <v>38174</v>
      </c>
    </row>
    <row r="610" spans="1:8" x14ac:dyDescent="0.25">
      <c r="A610" t="s">
        <v>334</v>
      </c>
      <c r="B610" t="s">
        <v>175</v>
      </c>
      <c r="C610" t="s">
        <v>376</v>
      </c>
      <c r="D610" t="s">
        <v>337</v>
      </c>
      <c r="E610" s="1">
        <v>39265</v>
      </c>
      <c r="F610" s="2">
        <v>1640000</v>
      </c>
      <c r="G610" s="1">
        <v>39265</v>
      </c>
      <c r="H610" s="1">
        <v>38174</v>
      </c>
    </row>
    <row r="611" spans="1:8" x14ac:dyDescent="0.25">
      <c r="A611" t="s">
        <v>334</v>
      </c>
      <c r="B611" t="s">
        <v>175</v>
      </c>
      <c r="C611" t="s">
        <v>376</v>
      </c>
      <c r="D611" t="s">
        <v>364</v>
      </c>
      <c r="E611" s="1">
        <v>42368</v>
      </c>
      <c r="F611" s="2">
        <v>66040000</v>
      </c>
      <c r="G611" s="1">
        <v>42368</v>
      </c>
      <c r="H611" s="1">
        <v>42356</v>
      </c>
    </row>
    <row r="612" spans="1:8" x14ac:dyDescent="0.25">
      <c r="A612" t="s">
        <v>334</v>
      </c>
      <c r="B612" t="s">
        <v>175</v>
      </c>
      <c r="C612" t="s">
        <v>376</v>
      </c>
      <c r="D612" t="s">
        <v>364</v>
      </c>
      <c r="E612" s="1">
        <v>42368</v>
      </c>
      <c r="F612" s="2">
        <v>19160000</v>
      </c>
      <c r="G612" s="1">
        <v>42368</v>
      </c>
      <c r="H612" s="1">
        <v>42356</v>
      </c>
    </row>
    <row r="613" spans="1:8" x14ac:dyDescent="0.25">
      <c r="A613" t="s">
        <v>334</v>
      </c>
      <c r="B613" t="s">
        <v>175</v>
      </c>
      <c r="C613" t="s">
        <v>376</v>
      </c>
      <c r="D613" t="s">
        <v>337</v>
      </c>
      <c r="E613" s="1">
        <v>44692</v>
      </c>
      <c r="F613" s="2">
        <v>68160000</v>
      </c>
      <c r="G613" s="1">
        <v>44692</v>
      </c>
      <c r="H613" s="1">
        <v>44690</v>
      </c>
    </row>
    <row r="614" spans="1:8" x14ac:dyDescent="0.25">
      <c r="A614" t="s">
        <v>334</v>
      </c>
      <c r="B614" t="s">
        <v>175</v>
      </c>
      <c r="C614" t="s">
        <v>376</v>
      </c>
      <c r="D614" t="s">
        <v>337</v>
      </c>
      <c r="E614" s="1">
        <v>44888</v>
      </c>
      <c r="F614" s="2">
        <v>45440000</v>
      </c>
      <c r="G614" s="1">
        <v>44888</v>
      </c>
      <c r="H614" s="1">
        <v>44690</v>
      </c>
    </row>
    <row r="615" spans="1:8" x14ac:dyDescent="0.25">
      <c r="A615" t="s">
        <v>334</v>
      </c>
      <c r="B615" t="s">
        <v>175</v>
      </c>
      <c r="C615" t="s">
        <v>376</v>
      </c>
      <c r="D615" t="s">
        <v>337</v>
      </c>
      <c r="E615" s="1">
        <v>45117</v>
      </c>
      <c r="F615" s="2">
        <v>45440000</v>
      </c>
      <c r="G615" s="1">
        <v>45117</v>
      </c>
      <c r="H615" s="1">
        <v>44690</v>
      </c>
    </row>
    <row r="616" spans="1:8" x14ac:dyDescent="0.25">
      <c r="A616" t="s">
        <v>334</v>
      </c>
      <c r="B616" t="s">
        <v>175</v>
      </c>
      <c r="C616" t="s">
        <v>376</v>
      </c>
      <c r="D616" t="s">
        <v>337</v>
      </c>
      <c r="E616" s="1">
        <v>45301</v>
      </c>
      <c r="F616" s="2">
        <v>45440000</v>
      </c>
      <c r="G616" s="1">
        <v>45301</v>
      </c>
      <c r="H616" s="1">
        <v>44690</v>
      </c>
    </row>
    <row r="617" spans="1:8" x14ac:dyDescent="0.25">
      <c r="A617" t="s">
        <v>334</v>
      </c>
      <c r="B617" t="s">
        <v>175</v>
      </c>
      <c r="C617" t="s">
        <v>376</v>
      </c>
      <c r="D617" t="s">
        <v>337</v>
      </c>
      <c r="E617" s="1">
        <v>45483</v>
      </c>
      <c r="F617" s="2">
        <v>45440000</v>
      </c>
      <c r="G617" s="1">
        <v>45483</v>
      </c>
      <c r="H617" s="1">
        <v>44690</v>
      </c>
    </row>
    <row r="618" spans="1:8" x14ac:dyDescent="0.25">
      <c r="A618" t="s">
        <v>334</v>
      </c>
      <c r="B618" t="s">
        <v>179</v>
      </c>
      <c r="C618" t="s">
        <v>377</v>
      </c>
      <c r="D618" t="s">
        <v>337</v>
      </c>
      <c r="E618" s="1">
        <v>39038</v>
      </c>
      <c r="F618" s="2">
        <v>14260000</v>
      </c>
      <c r="G618" s="1">
        <v>39038</v>
      </c>
      <c r="H618" s="1">
        <v>37944</v>
      </c>
    </row>
    <row r="619" spans="1:8" x14ac:dyDescent="0.25">
      <c r="A619" t="s">
        <v>334</v>
      </c>
      <c r="B619" t="s">
        <v>179</v>
      </c>
      <c r="C619" t="s">
        <v>377</v>
      </c>
      <c r="D619" t="s">
        <v>337</v>
      </c>
      <c r="E619" s="1">
        <v>39262</v>
      </c>
      <c r="F619" s="2">
        <v>10690000</v>
      </c>
      <c r="G619" s="1">
        <v>39262</v>
      </c>
      <c r="H619" s="1">
        <v>37944</v>
      </c>
    </row>
    <row r="620" spans="1:8" x14ac:dyDescent="0.25">
      <c r="A620" t="s">
        <v>334</v>
      </c>
      <c r="B620" t="s">
        <v>179</v>
      </c>
      <c r="C620" t="s">
        <v>377</v>
      </c>
      <c r="D620" t="s">
        <v>337</v>
      </c>
      <c r="E620" s="1">
        <v>39402</v>
      </c>
      <c r="F620" s="2">
        <v>10690000</v>
      </c>
      <c r="G620" s="1">
        <v>39402</v>
      </c>
      <c r="H620" s="1">
        <v>37944</v>
      </c>
    </row>
    <row r="621" spans="1:8" x14ac:dyDescent="0.25">
      <c r="A621" t="s">
        <v>334</v>
      </c>
      <c r="B621" t="s">
        <v>179</v>
      </c>
      <c r="C621" t="s">
        <v>377</v>
      </c>
      <c r="D621" t="s">
        <v>337</v>
      </c>
      <c r="E621" s="1">
        <v>44575</v>
      </c>
      <c r="F621" s="2">
        <v>78500000</v>
      </c>
      <c r="G621" s="1">
        <v>44575</v>
      </c>
      <c r="H621" s="1">
        <v>44573</v>
      </c>
    </row>
    <row r="622" spans="1:8" x14ac:dyDescent="0.25">
      <c r="A622" t="s">
        <v>334</v>
      </c>
      <c r="B622" t="s">
        <v>179</v>
      </c>
      <c r="C622" t="s">
        <v>377</v>
      </c>
      <c r="D622" t="s">
        <v>337</v>
      </c>
      <c r="E622" s="1">
        <v>45050</v>
      </c>
      <c r="F622" s="2">
        <v>39200000</v>
      </c>
      <c r="G622" s="1">
        <v>45050</v>
      </c>
      <c r="H622" s="1">
        <v>44573</v>
      </c>
    </row>
    <row r="623" spans="1:8" x14ac:dyDescent="0.25">
      <c r="A623" t="s">
        <v>334</v>
      </c>
      <c r="B623" t="s">
        <v>179</v>
      </c>
      <c r="C623" t="s">
        <v>377</v>
      </c>
      <c r="D623" t="s">
        <v>337</v>
      </c>
      <c r="E623" s="1">
        <v>45261</v>
      </c>
      <c r="F623" s="2">
        <v>39200000</v>
      </c>
      <c r="G623" s="1">
        <v>45261</v>
      </c>
      <c r="H623" s="1">
        <v>44573</v>
      </c>
    </row>
    <row r="624" spans="1:8" x14ac:dyDescent="0.25">
      <c r="A624" t="s">
        <v>334</v>
      </c>
      <c r="B624" t="s">
        <v>179</v>
      </c>
      <c r="C624" t="s">
        <v>377</v>
      </c>
      <c r="D624" t="s">
        <v>337</v>
      </c>
      <c r="E624" s="1">
        <v>45484</v>
      </c>
      <c r="F624" s="2">
        <v>31400000</v>
      </c>
      <c r="G624" s="1">
        <v>45484</v>
      </c>
      <c r="H624" s="1">
        <v>44573</v>
      </c>
    </row>
    <row r="625" spans="1:8" x14ac:dyDescent="0.25">
      <c r="A625" t="s">
        <v>334</v>
      </c>
      <c r="B625" t="s">
        <v>180</v>
      </c>
      <c r="C625" t="s">
        <v>378</v>
      </c>
      <c r="D625" t="s">
        <v>337</v>
      </c>
      <c r="E625" s="1">
        <v>38748</v>
      </c>
      <c r="F625" s="2">
        <v>13930000</v>
      </c>
      <c r="G625" s="1">
        <v>38748</v>
      </c>
      <c r="H625" s="1">
        <v>37603</v>
      </c>
    </row>
    <row r="626" spans="1:8" x14ac:dyDescent="0.25">
      <c r="A626" t="s">
        <v>334</v>
      </c>
      <c r="B626" t="s">
        <v>180</v>
      </c>
      <c r="C626" t="s">
        <v>378</v>
      </c>
      <c r="D626" t="s">
        <v>337</v>
      </c>
      <c r="E626" s="1">
        <v>38985</v>
      </c>
      <c r="F626" s="2">
        <v>13930000</v>
      </c>
      <c r="G626" s="1">
        <v>38985</v>
      </c>
      <c r="H626" s="1">
        <v>37603</v>
      </c>
    </row>
    <row r="627" spans="1:8" x14ac:dyDescent="0.25">
      <c r="A627" t="s">
        <v>334</v>
      </c>
      <c r="B627" t="s">
        <v>180</v>
      </c>
      <c r="C627" t="s">
        <v>378</v>
      </c>
      <c r="D627" t="s">
        <v>337</v>
      </c>
      <c r="E627" s="1">
        <v>39063</v>
      </c>
      <c r="F627" s="2">
        <v>13920000</v>
      </c>
      <c r="G627" s="1">
        <v>39063</v>
      </c>
      <c r="H627" s="1">
        <v>37603</v>
      </c>
    </row>
    <row r="628" spans="1:8" x14ac:dyDescent="0.25">
      <c r="A628" t="s">
        <v>334</v>
      </c>
      <c r="B628" t="s">
        <v>180</v>
      </c>
      <c r="C628" t="s">
        <v>378</v>
      </c>
      <c r="D628" t="s">
        <v>337</v>
      </c>
      <c r="E628" s="1">
        <v>39378</v>
      </c>
      <c r="F628" s="2">
        <v>11900000</v>
      </c>
      <c r="G628" s="1">
        <v>39378</v>
      </c>
      <c r="H628" s="1">
        <v>39360</v>
      </c>
    </row>
    <row r="629" spans="1:8" x14ac:dyDescent="0.25">
      <c r="A629" t="s">
        <v>334</v>
      </c>
      <c r="B629" t="s">
        <v>180</v>
      </c>
      <c r="C629" t="s">
        <v>378</v>
      </c>
      <c r="D629" t="s">
        <v>337</v>
      </c>
      <c r="E629" s="1">
        <v>39715</v>
      </c>
      <c r="F629" s="2">
        <v>18400000</v>
      </c>
      <c r="G629" s="1">
        <v>39715</v>
      </c>
      <c r="H629" s="1">
        <v>39360</v>
      </c>
    </row>
    <row r="630" spans="1:8" x14ac:dyDescent="0.25">
      <c r="A630" t="s">
        <v>334</v>
      </c>
      <c r="B630" t="s">
        <v>180</v>
      </c>
      <c r="C630" t="s">
        <v>378</v>
      </c>
      <c r="D630" t="s">
        <v>337</v>
      </c>
      <c r="E630" s="1">
        <v>40134</v>
      </c>
      <c r="F630" s="2">
        <v>23800000</v>
      </c>
      <c r="G630" s="1">
        <v>40134</v>
      </c>
      <c r="H630" s="1">
        <v>39360</v>
      </c>
    </row>
    <row r="631" spans="1:8" x14ac:dyDescent="0.25">
      <c r="A631" t="s">
        <v>334</v>
      </c>
      <c r="B631" t="s">
        <v>180</v>
      </c>
      <c r="C631" t="s">
        <v>378</v>
      </c>
      <c r="D631" t="s">
        <v>337</v>
      </c>
      <c r="E631" s="1">
        <v>40518</v>
      </c>
      <c r="F631" s="2">
        <v>12800000</v>
      </c>
      <c r="G631" s="1">
        <v>40518</v>
      </c>
      <c r="H631" s="1">
        <v>39360</v>
      </c>
    </row>
    <row r="632" spans="1:8" x14ac:dyDescent="0.25">
      <c r="A632" t="s">
        <v>334</v>
      </c>
      <c r="B632" t="s">
        <v>180</v>
      </c>
      <c r="C632" t="s">
        <v>378</v>
      </c>
      <c r="D632" t="s">
        <v>337</v>
      </c>
      <c r="E632" s="1">
        <v>40661</v>
      </c>
      <c r="F632" s="2">
        <v>5550000</v>
      </c>
      <c r="G632" s="1">
        <v>40661</v>
      </c>
      <c r="H632" s="1">
        <v>39360</v>
      </c>
    </row>
    <row r="633" spans="1:8" x14ac:dyDescent="0.25">
      <c r="A633" t="s">
        <v>334</v>
      </c>
      <c r="B633" t="s">
        <v>180</v>
      </c>
      <c r="C633" t="s">
        <v>378</v>
      </c>
      <c r="D633" t="s">
        <v>337</v>
      </c>
      <c r="E633" s="1">
        <v>40847</v>
      </c>
      <c r="F633" s="2">
        <v>5550000</v>
      </c>
      <c r="G633" s="1">
        <v>40847</v>
      </c>
      <c r="H633" s="1">
        <v>39360</v>
      </c>
    </row>
    <row r="634" spans="1:8" x14ac:dyDescent="0.25">
      <c r="A634" t="s">
        <v>334</v>
      </c>
      <c r="B634" t="s">
        <v>182</v>
      </c>
      <c r="C634" t="s">
        <v>379</v>
      </c>
      <c r="D634" t="s">
        <v>337</v>
      </c>
      <c r="E634" s="1">
        <v>38399</v>
      </c>
      <c r="F634" s="2">
        <v>940000</v>
      </c>
      <c r="G634" s="1">
        <v>38399</v>
      </c>
      <c r="H634" s="1">
        <v>38383</v>
      </c>
    </row>
    <row r="635" spans="1:8" x14ac:dyDescent="0.25">
      <c r="A635" t="s">
        <v>334</v>
      </c>
      <c r="B635" t="s">
        <v>182</v>
      </c>
      <c r="C635" t="s">
        <v>379</v>
      </c>
      <c r="D635" t="s">
        <v>337</v>
      </c>
      <c r="E635" s="1">
        <v>38685</v>
      </c>
      <c r="F635" s="2">
        <v>10810000</v>
      </c>
      <c r="G635" s="1">
        <v>38685</v>
      </c>
      <c r="H635" s="1">
        <v>38383</v>
      </c>
    </row>
    <row r="636" spans="1:8" x14ac:dyDescent="0.25">
      <c r="A636" t="s">
        <v>334</v>
      </c>
      <c r="B636" t="s">
        <v>182</v>
      </c>
      <c r="C636" t="s">
        <v>379</v>
      </c>
      <c r="D636" t="s">
        <v>337</v>
      </c>
      <c r="E636" s="1">
        <v>38895</v>
      </c>
      <c r="F636" s="2">
        <v>5875000</v>
      </c>
      <c r="G636" s="1">
        <v>38895</v>
      </c>
      <c r="H636" s="1">
        <v>38383</v>
      </c>
    </row>
    <row r="637" spans="1:8" x14ac:dyDescent="0.25">
      <c r="A637" t="s">
        <v>334</v>
      </c>
      <c r="B637" t="s">
        <v>182</v>
      </c>
      <c r="C637" t="s">
        <v>379</v>
      </c>
      <c r="D637" t="s">
        <v>337</v>
      </c>
      <c r="E637" s="1">
        <v>39087</v>
      </c>
      <c r="F637" s="2">
        <v>5875000</v>
      </c>
      <c r="G637" s="1">
        <v>39087</v>
      </c>
      <c r="H637" s="1">
        <v>38383</v>
      </c>
    </row>
    <row r="638" spans="1:8" x14ac:dyDescent="0.25">
      <c r="A638" t="s">
        <v>334</v>
      </c>
      <c r="B638" t="s">
        <v>182</v>
      </c>
      <c r="C638" t="s">
        <v>379</v>
      </c>
      <c r="D638" t="s">
        <v>337</v>
      </c>
      <c r="E638" s="1">
        <v>39255</v>
      </c>
      <c r="F638" s="2">
        <v>940000</v>
      </c>
      <c r="G638" s="1">
        <v>39255</v>
      </c>
      <c r="H638" s="1">
        <v>38383</v>
      </c>
    </row>
    <row r="639" spans="1:8" x14ac:dyDescent="0.25">
      <c r="A639" t="s">
        <v>334</v>
      </c>
      <c r="B639" t="s">
        <v>182</v>
      </c>
      <c r="C639" t="s">
        <v>379</v>
      </c>
      <c r="D639" t="s">
        <v>337</v>
      </c>
      <c r="E639" s="1">
        <v>39414</v>
      </c>
      <c r="F639" s="2">
        <v>940000</v>
      </c>
      <c r="G639" s="1">
        <v>39414</v>
      </c>
      <c r="H639" s="1">
        <v>38383</v>
      </c>
    </row>
    <row r="640" spans="1:8" x14ac:dyDescent="0.25">
      <c r="A640" t="s">
        <v>334</v>
      </c>
      <c r="B640" t="s">
        <v>182</v>
      </c>
      <c r="C640" t="s">
        <v>379</v>
      </c>
      <c r="D640" t="s">
        <v>337</v>
      </c>
      <c r="E640" s="1">
        <v>39598</v>
      </c>
      <c r="F640" s="2">
        <v>940000</v>
      </c>
      <c r="G640" s="1">
        <v>39598</v>
      </c>
      <c r="H640" s="1">
        <v>38383</v>
      </c>
    </row>
    <row r="641" spans="1:8" x14ac:dyDescent="0.25">
      <c r="A641" t="s">
        <v>334</v>
      </c>
      <c r="B641" t="s">
        <v>182</v>
      </c>
      <c r="C641" t="s">
        <v>379</v>
      </c>
      <c r="D641" t="s">
        <v>337</v>
      </c>
      <c r="E641" s="1">
        <v>39617</v>
      </c>
      <c r="F641" s="2">
        <v>3290000</v>
      </c>
      <c r="G641" s="1">
        <v>39617</v>
      </c>
      <c r="H641" s="1">
        <v>39601</v>
      </c>
    </row>
    <row r="642" spans="1:8" x14ac:dyDescent="0.25">
      <c r="A642" t="s">
        <v>334</v>
      </c>
      <c r="B642" t="s">
        <v>182</v>
      </c>
      <c r="C642" t="s">
        <v>379</v>
      </c>
      <c r="D642" t="s">
        <v>337</v>
      </c>
      <c r="E642" s="1">
        <v>39811</v>
      </c>
      <c r="F642" s="2">
        <v>3290000</v>
      </c>
      <c r="G642" s="1">
        <v>39811</v>
      </c>
      <c r="H642" s="1">
        <v>39601</v>
      </c>
    </row>
    <row r="643" spans="1:8" x14ac:dyDescent="0.25">
      <c r="A643" t="s">
        <v>334</v>
      </c>
      <c r="B643" t="s">
        <v>182</v>
      </c>
      <c r="C643" t="s">
        <v>379</v>
      </c>
      <c r="D643" t="s">
        <v>337</v>
      </c>
      <c r="E643" s="1">
        <v>39946</v>
      </c>
      <c r="F643" s="2">
        <v>3290000</v>
      </c>
      <c r="G643" s="1">
        <v>39946</v>
      </c>
      <c r="H643" s="1">
        <v>39601</v>
      </c>
    </row>
    <row r="644" spans="1:8" x14ac:dyDescent="0.25">
      <c r="A644" t="s">
        <v>334</v>
      </c>
      <c r="B644" t="s">
        <v>182</v>
      </c>
      <c r="C644" t="s">
        <v>379</v>
      </c>
      <c r="D644" t="s">
        <v>337</v>
      </c>
      <c r="E644" s="1">
        <v>40227</v>
      </c>
      <c r="F644" s="2">
        <v>3290000</v>
      </c>
      <c r="G644" s="1">
        <v>40227</v>
      </c>
      <c r="H644" s="1">
        <v>39601</v>
      </c>
    </row>
    <row r="645" spans="1:8" x14ac:dyDescent="0.25">
      <c r="A645" t="s">
        <v>334</v>
      </c>
      <c r="B645" t="s">
        <v>182</v>
      </c>
      <c r="C645" t="s">
        <v>379</v>
      </c>
      <c r="D645" t="s">
        <v>337</v>
      </c>
      <c r="E645" s="1">
        <v>40996</v>
      </c>
      <c r="F645" s="2">
        <v>11280000</v>
      </c>
      <c r="G645" s="1">
        <v>40996</v>
      </c>
      <c r="H645" s="1">
        <v>40984</v>
      </c>
    </row>
    <row r="646" spans="1:8" x14ac:dyDescent="0.25">
      <c r="A646" t="s">
        <v>334</v>
      </c>
      <c r="B646" t="s">
        <v>182</v>
      </c>
      <c r="C646" t="s">
        <v>379</v>
      </c>
      <c r="D646" t="s">
        <v>337</v>
      </c>
      <c r="E646" s="1">
        <v>41375</v>
      </c>
      <c r="F646" s="2">
        <v>11280000</v>
      </c>
      <c r="G646" s="1">
        <v>41375</v>
      </c>
      <c r="H646" s="1">
        <v>40984</v>
      </c>
    </row>
    <row r="647" spans="1:8" x14ac:dyDescent="0.25">
      <c r="A647" t="s">
        <v>334</v>
      </c>
      <c r="B647" t="s">
        <v>182</v>
      </c>
      <c r="C647" t="s">
        <v>379</v>
      </c>
      <c r="D647" t="s">
        <v>337</v>
      </c>
      <c r="E647" s="1">
        <v>41737</v>
      </c>
      <c r="F647" s="2">
        <v>22560000</v>
      </c>
      <c r="G647" s="1">
        <v>41737</v>
      </c>
      <c r="H647" s="1">
        <v>40984</v>
      </c>
    </row>
    <row r="648" spans="1:8" x14ac:dyDescent="0.25">
      <c r="A648" t="s">
        <v>334</v>
      </c>
      <c r="B648" t="s">
        <v>182</v>
      </c>
      <c r="C648" t="s">
        <v>379</v>
      </c>
      <c r="D648" t="s">
        <v>337</v>
      </c>
      <c r="E648" s="1">
        <v>42002</v>
      </c>
      <c r="F648" s="2">
        <v>11280000</v>
      </c>
      <c r="G648" s="1">
        <v>42002</v>
      </c>
      <c r="H648" s="1">
        <v>40984</v>
      </c>
    </row>
    <row r="649" spans="1:8" x14ac:dyDescent="0.25">
      <c r="A649" t="s">
        <v>334</v>
      </c>
      <c r="B649" t="s">
        <v>182</v>
      </c>
      <c r="C649" t="s">
        <v>379</v>
      </c>
      <c r="D649" t="s">
        <v>337</v>
      </c>
      <c r="E649" s="1">
        <v>42346</v>
      </c>
      <c r="F649" s="2">
        <v>39005000</v>
      </c>
      <c r="G649" s="1">
        <v>42346</v>
      </c>
      <c r="H649" s="1">
        <v>40984</v>
      </c>
    </row>
    <row r="650" spans="1:8" x14ac:dyDescent="0.25">
      <c r="A650" t="s">
        <v>334</v>
      </c>
      <c r="B650" t="s">
        <v>182</v>
      </c>
      <c r="C650" t="s">
        <v>379</v>
      </c>
      <c r="D650" t="s">
        <v>337</v>
      </c>
      <c r="E650" s="1">
        <v>42570</v>
      </c>
      <c r="F650" s="2">
        <v>12340000</v>
      </c>
      <c r="G650" s="1">
        <v>42570</v>
      </c>
      <c r="H650" s="1">
        <v>40984</v>
      </c>
    </row>
    <row r="651" spans="1:8" x14ac:dyDescent="0.25">
      <c r="A651" t="s">
        <v>334</v>
      </c>
      <c r="B651" t="s">
        <v>182</v>
      </c>
      <c r="C651" t="s">
        <v>379</v>
      </c>
      <c r="D651" t="s">
        <v>337</v>
      </c>
      <c r="E651" s="1">
        <v>42766</v>
      </c>
      <c r="F651" s="2">
        <v>14100000</v>
      </c>
      <c r="G651" s="1">
        <v>42766</v>
      </c>
      <c r="H651" s="1">
        <v>42758</v>
      </c>
    </row>
    <row r="652" spans="1:8" x14ac:dyDescent="0.25">
      <c r="A652" t="s">
        <v>334</v>
      </c>
      <c r="B652" t="s">
        <v>182</v>
      </c>
      <c r="C652" t="s">
        <v>379</v>
      </c>
      <c r="D652" t="s">
        <v>337</v>
      </c>
      <c r="E652" s="1">
        <v>43096</v>
      </c>
      <c r="F652" s="2">
        <v>14100000</v>
      </c>
      <c r="G652" s="1">
        <v>43096</v>
      </c>
      <c r="H652" s="1">
        <v>42758</v>
      </c>
    </row>
    <row r="653" spans="1:8" x14ac:dyDescent="0.25">
      <c r="A653" t="s">
        <v>334</v>
      </c>
      <c r="B653" t="s">
        <v>182</v>
      </c>
      <c r="C653" t="s">
        <v>379</v>
      </c>
      <c r="D653" t="s">
        <v>337</v>
      </c>
      <c r="E653" s="1">
        <v>43262</v>
      </c>
      <c r="F653" s="2">
        <v>14100000</v>
      </c>
      <c r="G653" s="1">
        <v>43262</v>
      </c>
      <c r="H653" s="1">
        <v>42758</v>
      </c>
    </row>
    <row r="654" spans="1:8" x14ac:dyDescent="0.25">
      <c r="A654" t="s">
        <v>334</v>
      </c>
      <c r="B654" t="s">
        <v>182</v>
      </c>
      <c r="C654" t="s">
        <v>379</v>
      </c>
      <c r="D654" t="s">
        <v>337</v>
      </c>
      <c r="E654" s="1">
        <v>43452</v>
      </c>
      <c r="F654" s="2">
        <v>14100000</v>
      </c>
      <c r="G654" s="1">
        <v>43452</v>
      </c>
      <c r="H654" s="1">
        <v>42758</v>
      </c>
    </row>
    <row r="655" spans="1:8" x14ac:dyDescent="0.25">
      <c r="A655" t="s">
        <v>334</v>
      </c>
      <c r="B655" t="s">
        <v>182</v>
      </c>
      <c r="C655" t="s">
        <v>379</v>
      </c>
      <c r="D655" t="s">
        <v>337</v>
      </c>
      <c r="E655" s="1">
        <v>43649</v>
      </c>
      <c r="F655" s="2">
        <v>33840000</v>
      </c>
      <c r="G655" s="1">
        <v>43649</v>
      </c>
      <c r="H655" s="1">
        <v>42758</v>
      </c>
    </row>
    <row r="656" spans="1:8" x14ac:dyDescent="0.25">
      <c r="A656" t="s">
        <v>334</v>
      </c>
      <c r="B656" t="s">
        <v>182</v>
      </c>
      <c r="C656" t="s">
        <v>379</v>
      </c>
      <c r="D656" t="s">
        <v>337</v>
      </c>
      <c r="E656" s="1">
        <v>43847</v>
      </c>
      <c r="F656" s="2">
        <v>14100000</v>
      </c>
      <c r="G656" s="1">
        <v>43847</v>
      </c>
      <c r="H656" s="1">
        <v>42758</v>
      </c>
    </row>
    <row r="657" spans="1:8" x14ac:dyDescent="0.25">
      <c r="A657" t="s">
        <v>334</v>
      </c>
      <c r="B657" t="s">
        <v>182</v>
      </c>
      <c r="C657" t="s">
        <v>379</v>
      </c>
      <c r="D657" t="s">
        <v>337</v>
      </c>
      <c r="E657" s="1">
        <v>44132</v>
      </c>
      <c r="F657" s="2">
        <v>14100000</v>
      </c>
      <c r="G657" s="1">
        <v>44132</v>
      </c>
      <c r="H657" s="1">
        <v>42758</v>
      </c>
    </row>
    <row r="658" spans="1:8" x14ac:dyDescent="0.25">
      <c r="A658" t="s">
        <v>334</v>
      </c>
      <c r="B658" t="s">
        <v>182</v>
      </c>
      <c r="C658" t="s">
        <v>379</v>
      </c>
      <c r="D658" t="s">
        <v>337</v>
      </c>
      <c r="E658" s="1">
        <v>44540</v>
      </c>
      <c r="F658" s="2">
        <v>39480000</v>
      </c>
      <c r="G658" s="1">
        <v>44540</v>
      </c>
      <c r="H658" s="1">
        <v>44538</v>
      </c>
    </row>
    <row r="659" spans="1:8" x14ac:dyDescent="0.25">
      <c r="A659" t="s">
        <v>334</v>
      </c>
      <c r="B659" t="s">
        <v>182</v>
      </c>
      <c r="C659" t="s">
        <v>379</v>
      </c>
      <c r="D659" t="s">
        <v>337</v>
      </c>
      <c r="E659" s="1">
        <v>44743</v>
      </c>
      <c r="F659" s="2">
        <v>39480000</v>
      </c>
      <c r="G659" s="1">
        <v>44743</v>
      </c>
      <c r="H659" s="1">
        <v>44538</v>
      </c>
    </row>
    <row r="660" spans="1:8" x14ac:dyDescent="0.25">
      <c r="A660" t="s">
        <v>334</v>
      </c>
      <c r="B660" t="s">
        <v>182</v>
      </c>
      <c r="C660" t="s">
        <v>379</v>
      </c>
      <c r="D660" t="s">
        <v>337</v>
      </c>
      <c r="E660" s="1">
        <v>44918</v>
      </c>
      <c r="F660" s="2">
        <v>39480000</v>
      </c>
      <c r="G660" s="1">
        <v>44918</v>
      </c>
      <c r="H660" s="1">
        <v>44538</v>
      </c>
    </row>
    <row r="661" spans="1:8" x14ac:dyDescent="0.25">
      <c r="A661" t="s">
        <v>334</v>
      </c>
      <c r="B661" t="s">
        <v>182</v>
      </c>
      <c r="C661" t="s">
        <v>379</v>
      </c>
      <c r="D661" t="s">
        <v>337</v>
      </c>
      <c r="E661" s="1">
        <v>45114</v>
      </c>
      <c r="F661" s="2">
        <v>19740000</v>
      </c>
      <c r="G661" s="1">
        <v>45114</v>
      </c>
      <c r="H661" s="1">
        <v>44538</v>
      </c>
    </row>
    <row r="662" spans="1:8" x14ac:dyDescent="0.25">
      <c r="A662" t="s">
        <v>334</v>
      </c>
      <c r="B662" t="s">
        <v>182</v>
      </c>
      <c r="C662" t="s">
        <v>379</v>
      </c>
      <c r="D662" t="s">
        <v>337</v>
      </c>
      <c r="E662" s="1">
        <v>45492</v>
      </c>
      <c r="F662" s="2">
        <v>19740000</v>
      </c>
      <c r="G662" s="1">
        <v>45492</v>
      </c>
      <c r="H662" s="1">
        <v>44538</v>
      </c>
    </row>
    <row r="663" spans="1:8" x14ac:dyDescent="0.25">
      <c r="A663" t="s">
        <v>339</v>
      </c>
      <c r="B663" t="s">
        <v>183</v>
      </c>
      <c r="C663" t="s">
        <v>380</v>
      </c>
      <c r="D663" t="s">
        <v>340</v>
      </c>
      <c r="E663" s="1">
        <v>45009</v>
      </c>
      <c r="F663" s="2">
        <v>43870000</v>
      </c>
      <c r="G663" s="1">
        <v>45009</v>
      </c>
      <c r="H663" s="1">
        <v>45007</v>
      </c>
    </row>
    <row r="664" spans="1:8" x14ac:dyDescent="0.25">
      <c r="A664" t="s">
        <v>334</v>
      </c>
      <c r="B664" t="s">
        <v>183</v>
      </c>
      <c r="C664" t="s">
        <v>380</v>
      </c>
      <c r="D664" t="s">
        <v>337</v>
      </c>
      <c r="E664" s="1">
        <v>45009</v>
      </c>
      <c r="F664" s="2">
        <v>21940000</v>
      </c>
      <c r="G664" s="1">
        <v>45009</v>
      </c>
      <c r="H664" s="1">
        <v>45007</v>
      </c>
    </row>
    <row r="665" spans="1:8" x14ac:dyDescent="0.25">
      <c r="A665" t="s">
        <v>339</v>
      </c>
      <c r="B665" t="s">
        <v>183</v>
      </c>
      <c r="C665" t="s">
        <v>380</v>
      </c>
      <c r="D665" t="s">
        <v>340</v>
      </c>
      <c r="E665" s="1">
        <v>45258</v>
      </c>
      <c r="F665" s="2">
        <v>43870000</v>
      </c>
      <c r="G665" s="1">
        <v>45258</v>
      </c>
      <c r="H665" s="1">
        <v>45007</v>
      </c>
    </row>
    <row r="666" spans="1:8" x14ac:dyDescent="0.25">
      <c r="A666" t="s">
        <v>334</v>
      </c>
      <c r="B666" t="s">
        <v>183</v>
      </c>
      <c r="C666" t="s">
        <v>380</v>
      </c>
      <c r="D666" t="s">
        <v>337</v>
      </c>
      <c r="E666" s="1">
        <v>45258</v>
      </c>
      <c r="F666" s="2">
        <v>21940000</v>
      </c>
      <c r="G666" s="1">
        <v>45258</v>
      </c>
      <c r="H666" s="1">
        <v>45007</v>
      </c>
    </row>
    <row r="667" spans="1:8" x14ac:dyDescent="0.25">
      <c r="A667" t="s">
        <v>339</v>
      </c>
      <c r="B667" t="s">
        <v>183</v>
      </c>
      <c r="C667" t="s">
        <v>380</v>
      </c>
      <c r="D667" t="s">
        <v>340</v>
      </c>
      <c r="E667" s="1">
        <v>45489</v>
      </c>
      <c r="F667" s="2">
        <v>63170000</v>
      </c>
      <c r="G667" s="1">
        <v>45489</v>
      </c>
      <c r="H667" s="1">
        <v>45007</v>
      </c>
    </row>
    <row r="668" spans="1:8" x14ac:dyDescent="0.25">
      <c r="A668" t="s">
        <v>334</v>
      </c>
      <c r="B668" t="s">
        <v>183</v>
      </c>
      <c r="C668" t="s">
        <v>380</v>
      </c>
      <c r="D668" t="s">
        <v>337</v>
      </c>
      <c r="E668" s="1">
        <v>45489</v>
      </c>
      <c r="F668" s="2">
        <v>31580000</v>
      </c>
      <c r="G668" s="1">
        <v>45489</v>
      </c>
      <c r="H668" s="1">
        <v>45007</v>
      </c>
    </row>
    <row r="669" spans="1:8" x14ac:dyDescent="0.25">
      <c r="A669" t="s">
        <v>339</v>
      </c>
      <c r="B669" t="s">
        <v>183</v>
      </c>
      <c r="C669" t="s">
        <v>380</v>
      </c>
      <c r="D669" t="s">
        <v>340</v>
      </c>
      <c r="E669" s="1">
        <v>45639</v>
      </c>
      <c r="F669" s="2">
        <v>63170000</v>
      </c>
      <c r="G669" s="1">
        <v>45639</v>
      </c>
      <c r="H669" s="1">
        <v>45007</v>
      </c>
    </row>
    <row r="670" spans="1:8" x14ac:dyDescent="0.25">
      <c r="A670" t="s">
        <v>334</v>
      </c>
      <c r="B670" t="s">
        <v>183</v>
      </c>
      <c r="C670" t="s">
        <v>380</v>
      </c>
      <c r="D670" t="s">
        <v>337</v>
      </c>
      <c r="E670" s="1">
        <v>45639</v>
      </c>
      <c r="F670" s="2">
        <v>31580000</v>
      </c>
      <c r="G670" s="1">
        <v>45639</v>
      </c>
      <c r="H670" s="1">
        <v>45007</v>
      </c>
    </row>
    <row r="671" spans="1:8" x14ac:dyDescent="0.25">
      <c r="A671" t="s">
        <v>334</v>
      </c>
      <c r="B671" t="s">
        <v>184</v>
      </c>
      <c r="C671" t="s">
        <v>381</v>
      </c>
      <c r="D671" t="s">
        <v>337</v>
      </c>
      <c r="E671" s="1">
        <v>38460</v>
      </c>
      <c r="F671" s="2">
        <v>571000</v>
      </c>
      <c r="G671" s="1">
        <v>38460</v>
      </c>
      <c r="H671" s="1">
        <v>37480</v>
      </c>
    </row>
    <row r="672" spans="1:8" x14ac:dyDescent="0.25">
      <c r="A672" t="s">
        <v>334</v>
      </c>
      <c r="B672" t="s">
        <v>184</v>
      </c>
      <c r="C672" t="s">
        <v>381</v>
      </c>
      <c r="D672" t="s">
        <v>337</v>
      </c>
      <c r="E672" s="1">
        <v>38608</v>
      </c>
      <c r="F672" s="2">
        <v>571000</v>
      </c>
      <c r="G672" s="1">
        <v>38608</v>
      </c>
      <c r="H672" s="1">
        <v>37480</v>
      </c>
    </row>
    <row r="673" spans="1:8" x14ac:dyDescent="0.25">
      <c r="A673" t="s">
        <v>334</v>
      </c>
      <c r="B673" t="s">
        <v>184</v>
      </c>
      <c r="C673" t="s">
        <v>381</v>
      </c>
      <c r="D673" t="s">
        <v>337</v>
      </c>
      <c r="E673" s="1">
        <v>38877</v>
      </c>
      <c r="F673" s="2">
        <v>571000</v>
      </c>
      <c r="G673" s="1">
        <v>38877</v>
      </c>
      <c r="H673" s="1">
        <v>37480</v>
      </c>
    </row>
    <row r="674" spans="1:8" x14ac:dyDescent="0.25">
      <c r="A674" t="s">
        <v>334</v>
      </c>
      <c r="B674" t="s">
        <v>184</v>
      </c>
      <c r="C674" t="s">
        <v>381</v>
      </c>
      <c r="D674" t="s">
        <v>337</v>
      </c>
      <c r="E674" s="1">
        <v>38895</v>
      </c>
      <c r="F674" s="2">
        <v>1140000</v>
      </c>
      <c r="G674" s="1">
        <v>38895</v>
      </c>
      <c r="H674" s="1">
        <v>38880</v>
      </c>
    </row>
    <row r="675" spans="1:8" x14ac:dyDescent="0.25">
      <c r="A675" t="s">
        <v>334</v>
      </c>
      <c r="B675" t="s">
        <v>184</v>
      </c>
      <c r="C675" t="s">
        <v>381</v>
      </c>
      <c r="D675" t="s">
        <v>337</v>
      </c>
      <c r="E675" s="1">
        <v>39122</v>
      </c>
      <c r="F675" s="2">
        <v>1140000</v>
      </c>
      <c r="G675" s="1">
        <v>39122</v>
      </c>
      <c r="H675" s="1">
        <v>38880</v>
      </c>
    </row>
    <row r="676" spans="1:8" x14ac:dyDescent="0.25">
      <c r="A676" t="s">
        <v>334</v>
      </c>
      <c r="B676" t="s">
        <v>184</v>
      </c>
      <c r="C676" t="s">
        <v>381</v>
      </c>
      <c r="D676" t="s">
        <v>337</v>
      </c>
      <c r="E676" s="1">
        <v>39265</v>
      </c>
      <c r="F676" s="2">
        <v>1140000</v>
      </c>
      <c r="G676" s="1">
        <v>39265</v>
      </c>
      <c r="H676" s="1">
        <v>38880</v>
      </c>
    </row>
    <row r="677" spans="1:8" x14ac:dyDescent="0.25">
      <c r="A677" t="s">
        <v>334</v>
      </c>
      <c r="B677" t="s">
        <v>184</v>
      </c>
      <c r="C677" t="s">
        <v>381</v>
      </c>
      <c r="D677" t="s">
        <v>337</v>
      </c>
      <c r="E677" s="1">
        <v>39517</v>
      </c>
      <c r="F677" s="2">
        <v>1140000</v>
      </c>
      <c r="G677" s="1">
        <v>39517</v>
      </c>
      <c r="H677" s="1">
        <v>38880</v>
      </c>
    </row>
    <row r="678" spans="1:8" x14ac:dyDescent="0.25">
      <c r="A678" t="s">
        <v>334</v>
      </c>
      <c r="B678" t="s">
        <v>184</v>
      </c>
      <c r="C678" t="s">
        <v>381</v>
      </c>
      <c r="D678" t="s">
        <v>337</v>
      </c>
      <c r="E678" s="1">
        <v>39632</v>
      </c>
      <c r="F678" s="2">
        <v>1140000</v>
      </c>
      <c r="G678" s="1">
        <v>39632</v>
      </c>
      <c r="H678" s="1">
        <v>38880</v>
      </c>
    </row>
    <row r="679" spans="1:8" x14ac:dyDescent="0.25">
      <c r="A679" t="s">
        <v>334</v>
      </c>
      <c r="B679" t="s">
        <v>184</v>
      </c>
      <c r="C679" t="s">
        <v>381</v>
      </c>
      <c r="D679" t="s">
        <v>337</v>
      </c>
      <c r="E679" s="1">
        <v>39829</v>
      </c>
      <c r="F679" s="2">
        <v>1140000</v>
      </c>
      <c r="G679" s="1">
        <v>39829</v>
      </c>
      <c r="H679" s="1">
        <v>38880</v>
      </c>
    </row>
    <row r="680" spans="1:8" x14ac:dyDescent="0.25">
      <c r="A680" t="s">
        <v>334</v>
      </c>
      <c r="B680" t="s">
        <v>184</v>
      </c>
      <c r="C680" t="s">
        <v>381</v>
      </c>
      <c r="D680" t="s">
        <v>337</v>
      </c>
      <c r="E680" s="1">
        <v>40032</v>
      </c>
      <c r="F680" s="2">
        <v>1170000</v>
      </c>
      <c r="G680" s="1">
        <v>40032</v>
      </c>
      <c r="H680" s="1">
        <v>38880</v>
      </c>
    </row>
    <row r="681" spans="1:8" x14ac:dyDescent="0.25">
      <c r="A681" t="s">
        <v>334</v>
      </c>
      <c r="B681" t="s">
        <v>184</v>
      </c>
      <c r="C681" t="s">
        <v>381</v>
      </c>
      <c r="D681" t="s">
        <v>364</v>
      </c>
      <c r="E681" s="1">
        <v>42537</v>
      </c>
      <c r="F681" s="2">
        <v>72090000</v>
      </c>
      <c r="G681" s="1">
        <v>42537</v>
      </c>
      <c r="H681" s="1">
        <v>42529</v>
      </c>
    </row>
    <row r="682" spans="1:8" x14ac:dyDescent="0.25">
      <c r="A682" t="s">
        <v>334</v>
      </c>
      <c r="B682" t="s">
        <v>184</v>
      </c>
      <c r="C682" t="s">
        <v>381</v>
      </c>
      <c r="D682" t="s">
        <v>364</v>
      </c>
      <c r="E682" s="1">
        <v>42752</v>
      </c>
      <c r="F682" s="2">
        <v>36045000</v>
      </c>
      <c r="G682" s="1">
        <v>42752</v>
      </c>
      <c r="H682" s="1">
        <v>42529</v>
      </c>
    </row>
    <row r="683" spans="1:8" x14ac:dyDescent="0.25">
      <c r="A683" t="s">
        <v>334</v>
      </c>
      <c r="B683" t="s">
        <v>184</v>
      </c>
      <c r="C683" t="s">
        <v>381</v>
      </c>
      <c r="D683" t="s">
        <v>364</v>
      </c>
      <c r="E683" s="1">
        <v>42937</v>
      </c>
      <c r="F683" s="2">
        <v>18022500</v>
      </c>
      <c r="G683" s="1">
        <v>42937</v>
      </c>
      <c r="H683" s="1">
        <v>42529</v>
      </c>
    </row>
    <row r="684" spans="1:8" x14ac:dyDescent="0.25">
      <c r="A684" t="s">
        <v>334</v>
      </c>
      <c r="B684" t="s">
        <v>184</v>
      </c>
      <c r="C684" t="s">
        <v>381</v>
      </c>
      <c r="D684" t="s">
        <v>364</v>
      </c>
      <c r="E684" s="1">
        <v>43122</v>
      </c>
      <c r="F684" s="2">
        <v>18022500</v>
      </c>
      <c r="G684" s="1">
        <v>43122</v>
      </c>
      <c r="H684" s="1">
        <v>42529</v>
      </c>
    </row>
    <row r="685" spans="1:8" x14ac:dyDescent="0.25">
      <c r="A685" t="s">
        <v>334</v>
      </c>
      <c r="B685" t="s">
        <v>184</v>
      </c>
      <c r="C685" t="s">
        <v>381</v>
      </c>
      <c r="D685" t="s">
        <v>364</v>
      </c>
      <c r="E685" s="1">
        <v>45278</v>
      </c>
      <c r="F685" s="2">
        <v>66750000</v>
      </c>
      <c r="G685" s="1">
        <v>45278</v>
      </c>
      <c r="H685" s="1">
        <v>45274</v>
      </c>
    </row>
    <row r="686" spans="1:8" x14ac:dyDescent="0.25">
      <c r="A686" t="s">
        <v>334</v>
      </c>
      <c r="B686" t="s">
        <v>184</v>
      </c>
      <c r="C686" t="s">
        <v>381</v>
      </c>
      <c r="D686" t="s">
        <v>364</v>
      </c>
      <c r="E686" s="1">
        <v>45436</v>
      </c>
      <c r="F686" s="2">
        <v>66750000</v>
      </c>
      <c r="G686" s="1">
        <v>45436</v>
      </c>
      <c r="H686" s="1">
        <v>45274</v>
      </c>
    </row>
    <row r="687" spans="1:8" x14ac:dyDescent="0.25">
      <c r="A687" t="s">
        <v>334</v>
      </c>
      <c r="B687" t="s">
        <v>184</v>
      </c>
      <c r="C687" t="s">
        <v>381</v>
      </c>
      <c r="D687" t="s">
        <v>364</v>
      </c>
      <c r="E687" s="1">
        <v>45643</v>
      </c>
      <c r="F687" s="2">
        <v>66750000</v>
      </c>
      <c r="G687" s="1">
        <v>45643</v>
      </c>
      <c r="H687" s="1">
        <v>45274</v>
      </c>
    </row>
    <row r="688" spans="1:8" x14ac:dyDescent="0.25">
      <c r="A688" t="s">
        <v>334</v>
      </c>
      <c r="B688" t="s">
        <v>382</v>
      </c>
      <c r="C688" t="s">
        <v>383</v>
      </c>
      <c r="D688" t="s">
        <v>337</v>
      </c>
      <c r="E688" s="1">
        <v>38576</v>
      </c>
      <c r="F688" s="2">
        <v>423000</v>
      </c>
      <c r="G688" s="1">
        <v>38576</v>
      </c>
      <c r="H688" s="1">
        <v>38565</v>
      </c>
    </row>
    <row r="689" spans="1:8" x14ac:dyDescent="0.25">
      <c r="A689" t="s">
        <v>334</v>
      </c>
      <c r="B689" t="s">
        <v>382</v>
      </c>
      <c r="C689" t="s">
        <v>383</v>
      </c>
      <c r="D689" t="s">
        <v>337</v>
      </c>
      <c r="E689" s="1">
        <v>38786</v>
      </c>
      <c r="F689" s="2">
        <v>423000</v>
      </c>
      <c r="G689" s="1">
        <v>38786</v>
      </c>
      <c r="H689" s="1">
        <v>38565</v>
      </c>
    </row>
    <row r="690" spans="1:8" x14ac:dyDescent="0.25">
      <c r="A690" t="s">
        <v>334</v>
      </c>
      <c r="B690" t="s">
        <v>382</v>
      </c>
      <c r="C690" t="s">
        <v>383</v>
      </c>
      <c r="D690" t="s">
        <v>337</v>
      </c>
      <c r="E690" s="1">
        <v>38933</v>
      </c>
      <c r="F690" s="2">
        <v>423000</v>
      </c>
      <c r="G690" s="1">
        <v>38933</v>
      </c>
      <c r="H690" s="1">
        <v>38565</v>
      </c>
    </row>
    <row r="691" spans="1:8" x14ac:dyDescent="0.25">
      <c r="A691" t="s">
        <v>334</v>
      </c>
      <c r="B691" t="s">
        <v>382</v>
      </c>
      <c r="C691" t="s">
        <v>383</v>
      </c>
      <c r="D691" t="s">
        <v>337</v>
      </c>
      <c r="E691" s="1">
        <v>39106</v>
      </c>
      <c r="F691" s="2">
        <v>423000</v>
      </c>
      <c r="G691" s="1">
        <v>39106</v>
      </c>
      <c r="H691" s="1">
        <v>38565</v>
      </c>
    </row>
    <row r="692" spans="1:8" x14ac:dyDescent="0.25">
      <c r="A692" t="s">
        <v>334</v>
      </c>
      <c r="B692" t="s">
        <v>382</v>
      </c>
      <c r="C692" t="s">
        <v>383</v>
      </c>
      <c r="D692" t="s">
        <v>337</v>
      </c>
      <c r="E692" s="1">
        <v>39265</v>
      </c>
      <c r="F692" s="2">
        <v>423000</v>
      </c>
      <c r="G692" s="1">
        <v>39265</v>
      </c>
      <c r="H692" s="1">
        <v>38565</v>
      </c>
    </row>
    <row r="693" spans="1:8" x14ac:dyDescent="0.25">
      <c r="A693" t="s">
        <v>334</v>
      </c>
      <c r="B693" t="s">
        <v>382</v>
      </c>
      <c r="C693" t="s">
        <v>383</v>
      </c>
      <c r="D693" t="s">
        <v>337</v>
      </c>
      <c r="E693" s="1">
        <v>39457</v>
      </c>
      <c r="F693" s="2">
        <v>422000</v>
      </c>
      <c r="G693" s="1">
        <v>39457</v>
      </c>
      <c r="H693" s="1">
        <v>38565</v>
      </c>
    </row>
    <row r="694" spans="1:8" x14ac:dyDescent="0.25">
      <c r="A694" t="s">
        <v>334</v>
      </c>
      <c r="B694" t="s">
        <v>382</v>
      </c>
      <c r="C694" t="s">
        <v>383</v>
      </c>
      <c r="D694" t="s">
        <v>337</v>
      </c>
      <c r="E694" s="1">
        <v>39632</v>
      </c>
      <c r="F694" s="2">
        <v>423000</v>
      </c>
      <c r="G694" s="1">
        <v>39632</v>
      </c>
      <c r="H694" s="1">
        <v>38565</v>
      </c>
    </row>
    <row r="695" spans="1:8" x14ac:dyDescent="0.25">
      <c r="A695" t="s">
        <v>334</v>
      </c>
      <c r="B695" t="s">
        <v>382</v>
      </c>
      <c r="C695" t="s">
        <v>383</v>
      </c>
      <c r="D695" t="s">
        <v>337</v>
      </c>
      <c r="E695" s="1">
        <v>39881</v>
      </c>
      <c r="F695" s="2">
        <v>370000</v>
      </c>
      <c r="G695" s="1">
        <v>39881</v>
      </c>
      <c r="H695" s="1">
        <v>39874</v>
      </c>
    </row>
    <row r="696" spans="1:8" x14ac:dyDescent="0.25">
      <c r="A696" t="s">
        <v>334</v>
      </c>
      <c r="B696" t="s">
        <v>382</v>
      </c>
      <c r="C696" t="s">
        <v>383</v>
      </c>
      <c r="D696" t="s">
        <v>337</v>
      </c>
      <c r="E696" s="1">
        <v>40234</v>
      </c>
      <c r="F696" s="2">
        <v>370000</v>
      </c>
      <c r="G696" s="1">
        <v>40234</v>
      </c>
      <c r="H696" s="1">
        <v>39874</v>
      </c>
    </row>
    <row r="697" spans="1:8" x14ac:dyDescent="0.25">
      <c r="A697" t="s">
        <v>334</v>
      </c>
      <c r="B697" t="s">
        <v>382</v>
      </c>
      <c r="C697" t="s">
        <v>383</v>
      </c>
      <c r="D697" t="s">
        <v>337</v>
      </c>
      <c r="E697" s="1">
        <v>41121</v>
      </c>
      <c r="F697" s="2">
        <v>370000</v>
      </c>
      <c r="G697" s="1">
        <v>41121</v>
      </c>
      <c r="H697" s="1">
        <v>41110</v>
      </c>
    </row>
    <row r="698" spans="1:8" x14ac:dyDescent="0.25">
      <c r="A698" t="s">
        <v>334</v>
      </c>
      <c r="B698" t="s">
        <v>382</v>
      </c>
      <c r="C698" t="s">
        <v>383</v>
      </c>
      <c r="D698" t="s">
        <v>337</v>
      </c>
      <c r="E698" s="1">
        <v>41450</v>
      </c>
      <c r="F698" s="2">
        <v>370000</v>
      </c>
      <c r="G698" s="1">
        <v>41450</v>
      </c>
      <c r="H698" s="1">
        <v>41110</v>
      </c>
    </row>
    <row r="699" spans="1:8" x14ac:dyDescent="0.25">
      <c r="A699" t="s">
        <v>334</v>
      </c>
      <c r="B699" t="s">
        <v>382</v>
      </c>
      <c r="C699" t="s">
        <v>383</v>
      </c>
      <c r="D699" t="s">
        <v>337</v>
      </c>
      <c r="E699" s="1">
        <v>41631</v>
      </c>
      <c r="F699" s="2">
        <v>370000</v>
      </c>
      <c r="G699" s="1">
        <v>41631</v>
      </c>
      <c r="H699" s="1">
        <v>41110</v>
      </c>
    </row>
    <row r="700" spans="1:8" x14ac:dyDescent="0.25">
      <c r="A700" t="s">
        <v>334</v>
      </c>
      <c r="B700" t="s">
        <v>382</v>
      </c>
      <c r="C700" t="s">
        <v>383</v>
      </c>
      <c r="D700" t="s">
        <v>337</v>
      </c>
      <c r="E700" s="1">
        <v>42206</v>
      </c>
      <c r="F700" s="2">
        <v>634285</v>
      </c>
      <c r="G700" s="1">
        <v>42206</v>
      </c>
      <c r="H700" s="1">
        <v>42198</v>
      </c>
    </row>
    <row r="701" spans="1:8" x14ac:dyDescent="0.25">
      <c r="A701" t="s">
        <v>334</v>
      </c>
      <c r="B701" t="s">
        <v>382</v>
      </c>
      <c r="C701" t="s">
        <v>383</v>
      </c>
      <c r="D701" t="s">
        <v>337</v>
      </c>
      <c r="E701" s="1">
        <v>42541</v>
      </c>
      <c r="F701" s="2">
        <v>634285</v>
      </c>
      <c r="G701" s="1">
        <v>42541</v>
      </c>
      <c r="H701" s="1">
        <v>42198</v>
      </c>
    </row>
    <row r="702" spans="1:8" x14ac:dyDescent="0.25">
      <c r="A702" t="s">
        <v>334</v>
      </c>
      <c r="B702" t="s">
        <v>382</v>
      </c>
      <c r="C702" t="s">
        <v>383</v>
      </c>
      <c r="D702" t="s">
        <v>337</v>
      </c>
      <c r="E702" s="1">
        <v>42724</v>
      </c>
      <c r="F702" s="2">
        <v>634285</v>
      </c>
      <c r="G702" s="1">
        <v>42724</v>
      </c>
      <c r="H702" s="1">
        <v>42198</v>
      </c>
    </row>
    <row r="703" spans="1:8" x14ac:dyDescent="0.25">
      <c r="A703" t="s">
        <v>334</v>
      </c>
      <c r="B703" t="s">
        <v>382</v>
      </c>
      <c r="C703" t="s">
        <v>383</v>
      </c>
      <c r="D703" t="s">
        <v>337</v>
      </c>
      <c r="E703" s="1">
        <v>43088</v>
      </c>
      <c r="F703" s="2">
        <v>1268570</v>
      </c>
      <c r="G703" s="1">
        <v>43088</v>
      </c>
      <c r="H703" s="1">
        <v>42198</v>
      </c>
    </row>
    <row r="704" spans="1:8" x14ac:dyDescent="0.25">
      <c r="A704" t="s">
        <v>334</v>
      </c>
      <c r="B704" t="s">
        <v>382</v>
      </c>
      <c r="C704" t="s">
        <v>383</v>
      </c>
      <c r="D704" t="s">
        <v>337</v>
      </c>
      <c r="E704" s="1">
        <v>43312</v>
      </c>
      <c r="F704" s="2">
        <v>634285</v>
      </c>
      <c r="G704" s="1">
        <v>43312</v>
      </c>
      <c r="H704" s="1">
        <v>42198</v>
      </c>
    </row>
    <row r="705" spans="1:8" x14ac:dyDescent="0.25">
      <c r="A705" t="s">
        <v>334</v>
      </c>
      <c r="B705" t="s">
        <v>382</v>
      </c>
      <c r="C705" t="s">
        <v>383</v>
      </c>
      <c r="D705" t="s">
        <v>337</v>
      </c>
      <c r="E705" s="1">
        <v>43748</v>
      </c>
      <c r="F705" s="2">
        <v>1902857</v>
      </c>
      <c r="G705" s="1">
        <v>43748</v>
      </c>
      <c r="H705" s="1">
        <v>43740</v>
      </c>
    </row>
    <row r="706" spans="1:8" x14ac:dyDescent="0.25">
      <c r="A706" t="s">
        <v>334</v>
      </c>
      <c r="B706" t="s">
        <v>382</v>
      </c>
      <c r="C706" t="s">
        <v>383</v>
      </c>
      <c r="D706" t="s">
        <v>337</v>
      </c>
      <c r="E706" s="1">
        <v>44041</v>
      </c>
      <c r="F706" s="2">
        <v>3382857</v>
      </c>
      <c r="G706" s="1">
        <v>44041</v>
      </c>
      <c r="H706" s="1">
        <v>43740</v>
      </c>
    </row>
    <row r="707" spans="1:8" x14ac:dyDescent="0.25">
      <c r="A707" t="s">
        <v>334</v>
      </c>
      <c r="B707" t="s">
        <v>382</v>
      </c>
      <c r="C707" t="s">
        <v>383</v>
      </c>
      <c r="D707" t="s">
        <v>337</v>
      </c>
      <c r="E707" s="1">
        <v>44257</v>
      </c>
      <c r="F707" s="2">
        <v>1902857</v>
      </c>
      <c r="G707" s="1">
        <v>44257</v>
      </c>
      <c r="H707" s="1">
        <v>43740</v>
      </c>
    </row>
    <row r="708" spans="1:8" x14ac:dyDescent="0.25">
      <c r="A708" t="s">
        <v>334</v>
      </c>
      <c r="B708" t="s">
        <v>382</v>
      </c>
      <c r="C708" t="s">
        <v>383</v>
      </c>
      <c r="D708" t="s">
        <v>337</v>
      </c>
      <c r="E708" s="1">
        <v>44439</v>
      </c>
      <c r="F708" s="2">
        <v>1902857</v>
      </c>
      <c r="G708" s="1">
        <v>44439</v>
      </c>
      <c r="H708" s="1">
        <v>43740</v>
      </c>
    </row>
    <row r="709" spans="1:8" x14ac:dyDescent="0.25">
      <c r="A709" t="s">
        <v>334</v>
      </c>
      <c r="B709" t="s">
        <v>382</v>
      </c>
      <c r="C709" t="s">
        <v>383</v>
      </c>
      <c r="D709" t="s">
        <v>337</v>
      </c>
      <c r="E709" s="1">
        <v>44652</v>
      </c>
      <c r="F709" s="2">
        <v>1902857</v>
      </c>
      <c r="G709" s="1">
        <v>44652</v>
      </c>
      <c r="H709" s="1">
        <v>43740</v>
      </c>
    </row>
    <row r="710" spans="1:8" x14ac:dyDescent="0.25">
      <c r="A710" t="s">
        <v>334</v>
      </c>
      <c r="B710" t="s">
        <v>382</v>
      </c>
      <c r="C710" t="s">
        <v>383</v>
      </c>
      <c r="D710" t="s">
        <v>337</v>
      </c>
      <c r="E710" s="1">
        <v>44806</v>
      </c>
      <c r="F710" s="2">
        <v>1902858</v>
      </c>
      <c r="G710" s="1">
        <v>44806</v>
      </c>
      <c r="H710" s="1">
        <v>43740</v>
      </c>
    </row>
    <row r="711" spans="1:8" x14ac:dyDescent="0.25">
      <c r="A711" t="s">
        <v>334</v>
      </c>
      <c r="B711" t="s">
        <v>382</v>
      </c>
      <c r="C711" t="s">
        <v>383</v>
      </c>
      <c r="D711" t="s">
        <v>337</v>
      </c>
      <c r="E711" s="1">
        <v>45649</v>
      </c>
      <c r="F711" s="2">
        <v>3964286</v>
      </c>
      <c r="G711" s="1">
        <v>45649</v>
      </c>
      <c r="H711" s="1">
        <v>45645</v>
      </c>
    </row>
    <row r="712" spans="1:8" x14ac:dyDescent="0.25">
      <c r="A712" t="s">
        <v>334</v>
      </c>
      <c r="B712" t="s">
        <v>188</v>
      </c>
      <c r="C712" t="s">
        <v>384</v>
      </c>
      <c r="D712" t="s">
        <v>337</v>
      </c>
      <c r="E712" s="1">
        <v>38433</v>
      </c>
      <c r="F712" s="2">
        <v>3470000</v>
      </c>
      <c r="G712" s="1">
        <v>38433</v>
      </c>
      <c r="H712" s="1">
        <v>37739</v>
      </c>
    </row>
    <row r="713" spans="1:8" x14ac:dyDescent="0.25">
      <c r="A713" t="s">
        <v>334</v>
      </c>
      <c r="B713" t="s">
        <v>188</v>
      </c>
      <c r="C713" t="s">
        <v>384</v>
      </c>
      <c r="D713" t="s">
        <v>337</v>
      </c>
      <c r="E713" s="1">
        <v>38742</v>
      </c>
      <c r="F713" s="2">
        <v>13860000</v>
      </c>
      <c r="G713" s="1">
        <v>38742</v>
      </c>
      <c r="H713" s="1">
        <v>37739</v>
      </c>
    </row>
    <row r="714" spans="1:8" x14ac:dyDescent="0.25">
      <c r="A714" t="s">
        <v>339</v>
      </c>
      <c r="B714" t="s">
        <v>188</v>
      </c>
      <c r="C714" t="s">
        <v>384</v>
      </c>
      <c r="D714" t="s">
        <v>363</v>
      </c>
      <c r="E714" s="1">
        <v>44356</v>
      </c>
      <c r="F714" s="2">
        <v>86300000</v>
      </c>
      <c r="G714" s="1">
        <v>44356</v>
      </c>
      <c r="H714" s="1">
        <v>44354</v>
      </c>
    </row>
    <row r="715" spans="1:8" x14ac:dyDescent="0.25">
      <c r="A715" t="s">
        <v>334</v>
      </c>
      <c r="B715" t="s">
        <v>188</v>
      </c>
      <c r="C715" t="s">
        <v>384</v>
      </c>
      <c r="D715" t="s">
        <v>364</v>
      </c>
      <c r="E715" s="1">
        <v>44356</v>
      </c>
      <c r="F715" s="2">
        <v>43100000</v>
      </c>
      <c r="G715" s="1">
        <v>44356</v>
      </c>
      <c r="H715" s="1">
        <v>44354</v>
      </c>
    </row>
    <row r="716" spans="1:8" x14ac:dyDescent="0.25">
      <c r="A716" t="s">
        <v>334</v>
      </c>
      <c r="B716" t="s">
        <v>188</v>
      </c>
      <c r="C716" t="s">
        <v>384</v>
      </c>
      <c r="D716" t="s">
        <v>364</v>
      </c>
      <c r="E716" s="1">
        <v>44573</v>
      </c>
      <c r="F716" s="2">
        <v>43100000</v>
      </c>
      <c r="G716" s="1">
        <v>44573</v>
      </c>
      <c r="H716" s="1">
        <v>44354</v>
      </c>
    </row>
    <row r="717" spans="1:8" x14ac:dyDescent="0.25">
      <c r="A717" t="s">
        <v>339</v>
      </c>
      <c r="B717" t="s">
        <v>188</v>
      </c>
      <c r="C717" t="s">
        <v>384</v>
      </c>
      <c r="D717" t="s">
        <v>363</v>
      </c>
      <c r="E717" s="1">
        <v>44573</v>
      </c>
      <c r="F717" s="2">
        <v>86300000</v>
      </c>
      <c r="G717" s="1">
        <v>44573</v>
      </c>
      <c r="H717" s="1">
        <v>44354</v>
      </c>
    </row>
    <row r="718" spans="1:8" x14ac:dyDescent="0.25">
      <c r="A718" t="s">
        <v>334</v>
      </c>
      <c r="B718" t="s">
        <v>188</v>
      </c>
      <c r="C718" t="s">
        <v>384</v>
      </c>
      <c r="D718" t="s">
        <v>364</v>
      </c>
      <c r="E718" s="1">
        <v>44736</v>
      </c>
      <c r="F718" s="2">
        <v>53975000</v>
      </c>
      <c r="G718" s="1">
        <v>44736</v>
      </c>
      <c r="H718" s="1">
        <v>44354</v>
      </c>
    </row>
    <row r="719" spans="1:8" x14ac:dyDescent="0.25">
      <c r="A719" t="s">
        <v>339</v>
      </c>
      <c r="B719" t="s">
        <v>188</v>
      </c>
      <c r="C719" t="s">
        <v>384</v>
      </c>
      <c r="D719" t="s">
        <v>363</v>
      </c>
      <c r="E719" s="1">
        <v>44736</v>
      </c>
      <c r="F719" s="2">
        <v>107845000</v>
      </c>
      <c r="G719" s="1">
        <v>44736</v>
      </c>
      <c r="H719" s="1">
        <v>44354</v>
      </c>
    </row>
    <row r="720" spans="1:8" x14ac:dyDescent="0.25">
      <c r="A720" t="s">
        <v>334</v>
      </c>
      <c r="B720" t="s">
        <v>188</v>
      </c>
      <c r="C720" t="s">
        <v>384</v>
      </c>
      <c r="D720" t="s">
        <v>364</v>
      </c>
      <c r="E720" s="1">
        <v>44935</v>
      </c>
      <c r="F720" s="2">
        <v>53975000</v>
      </c>
      <c r="G720" s="1">
        <v>44935</v>
      </c>
      <c r="H720" s="1">
        <v>44354</v>
      </c>
    </row>
    <row r="721" spans="1:8" x14ac:dyDescent="0.25">
      <c r="A721" t="s">
        <v>339</v>
      </c>
      <c r="B721" t="s">
        <v>188</v>
      </c>
      <c r="C721" t="s">
        <v>384</v>
      </c>
      <c r="D721" t="s">
        <v>363</v>
      </c>
      <c r="E721" s="1">
        <v>44937</v>
      </c>
      <c r="F721" s="2">
        <v>107845000</v>
      </c>
      <c r="G721" s="1">
        <v>44937</v>
      </c>
      <c r="H721" s="1">
        <v>44354</v>
      </c>
    </row>
    <row r="722" spans="1:8" x14ac:dyDescent="0.25">
      <c r="A722" t="s">
        <v>339</v>
      </c>
      <c r="B722" t="s">
        <v>188</v>
      </c>
      <c r="C722" t="s">
        <v>384</v>
      </c>
      <c r="D722" t="s">
        <v>340</v>
      </c>
      <c r="E722" s="1">
        <v>45105</v>
      </c>
      <c r="F722" s="2">
        <v>107870000</v>
      </c>
      <c r="G722" s="1">
        <v>45105</v>
      </c>
      <c r="H722" s="1">
        <v>45103</v>
      </c>
    </row>
    <row r="723" spans="1:8" x14ac:dyDescent="0.25">
      <c r="A723" t="s">
        <v>334</v>
      </c>
      <c r="B723" t="s">
        <v>188</v>
      </c>
      <c r="C723" t="s">
        <v>384</v>
      </c>
      <c r="D723" t="s">
        <v>337</v>
      </c>
      <c r="E723" s="1">
        <v>45105</v>
      </c>
      <c r="F723" s="2">
        <v>53930000</v>
      </c>
      <c r="G723" s="1">
        <v>45105</v>
      </c>
      <c r="H723" s="1">
        <v>45103</v>
      </c>
    </row>
    <row r="724" spans="1:8" x14ac:dyDescent="0.25">
      <c r="A724" t="s">
        <v>339</v>
      </c>
      <c r="B724" t="s">
        <v>188</v>
      </c>
      <c r="C724" t="s">
        <v>384</v>
      </c>
      <c r="D724" t="s">
        <v>340</v>
      </c>
      <c r="E724" s="1">
        <v>45275</v>
      </c>
      <c r="F724" s="2">
        <v>107870000</v>
      </c>
      <c r="G724" s="1">
        <v>45275</v>
      </c>
      <c r="H724" s="1">
        <v>45103</v>
      </c>
    </row>
    <row r="725" spans="1:8" x14ac:dyDescent="0.25">
      <c r="A725" t="s">
        <v>334</v>
      </c>
      <c r="B725" t="s">
        <v>188</v>
      </c>
      <c r="C725" t="s">
        <v>384</v>
      </c>
      <c r="D725" t="s">
        <v>337</v>
      </c>
      <c r="E725" s="1">
        <v>45275</v>
      </c>
      <c r="F725" s="2">
        <v>53930000</v>
      </c>
      <c r="G725" s="1">
        <v>45275</v>
      </c>
      <c r="H725" s="1">
        <v>45103</v>
      </c>
    </row>
    <row r="726" spans="1:8" x14ac:dyDescent="0.25">
      <c r="A726" t="s">
        <v>334</v>
      </c>
      <c r="B726" t="s">
        <v>189</v>
      </c>
      <c r="C726" t="s">
        <v>385</v>
      </c>
      <c r="D726" t="s">
        <v>337</v>
      </c>
      <c r="E726" s="1">
        <v>38520</v>
      </c>
      <c r="F726" s="2">
        <v>14003000</v>
      </c>
      <c r="G726" s="1">
        <v>38520</v>
      </c>
      <c r="H726" s="1">
        <v>37160</v>
      </c>
    </row>
    <row r="727" spans="1:8" x14ac:dyDescent="0.25">
      <c r="A727" t="s">
        <v>334</v>
      </c>
      <c r="B727" t="s">
        <v>189</v>
      </c>
      <c r="C727" t="s">
        <v>385</v>
      </c>
      <c r="D727" t="s">
        <v>337</v>
      </c>
      <c r="E727" s="1">
        <v>38861</v>
      </c>
      <c r="F727" s="2">
        <v>4710000</v>
      </c>
      <c r="G727" s="1">
        <v>38861</v>
      </c>
      <c r="H727" s="1">
        <v>38847</v>
      </c>
    </row>
    <row r="728" spans="1:8" x14ac:dyDescent="0.25">
      <c r="A728" t="s">
        <v>334</v>
      </c>
      <c r="B728" t="s">
        <v>189</v>
      </c>
      <c r="C728" t="s">
        <v>385</v>
      </c>
      <c r="D728" t="s">
        <v>337</v>
      </c>
      <c r="E728" s="1">
        <v>39072</v>
      </c>
      <c r="F728" s="2">
        <v>4400000</v>
      </c>
      <c r="G728" s="1">
        <v>39072</v>
      </c>
      <c r="H728" s="1">
        <v>38847</v>
      </c>
    </row>
    <row r="729" spans="1:8" x14ac:dyDescent="0.25">
      <c r="A729" t="s">
        <v>334</v>
      </c>
      <c r="B729" t="s">
        <v>189</v>
      </c>
      <c r="C729" t="s">
        <v>385</v>
      </c>
      <c r="D729" t="s">
        <v>337</v>
      </c>
      <c r="E729" s="1">
        <v>39644</v>
      </c>
      <c r="F729" s="2">
        <v>4400000</v>
      </c>
      <c r="G729" s="1">
        <v>39644</v>
      </c>
      <c r="H729" s="1">
        <v>38847</v>
      </c>
    </row>
    <row r="730" spans="1:8" x14ac:dyDescent="0.25">
      <c r="A730" t="s">
        <v>334</v>
      </c>
      <c r="B730" t="s">
        <v>189</v>
      </c>
      <c r="C730" t="s">
        <v>385</v>
      </c>
      <c r="D730" t="s">
        <v>337</v>
      </c>
      <c r="E730" s="1">
        <v>39811</v>
      </c>
      <c r="F730" s="2">
        <v>7000000</v>
      </c>
      <c r="G730" s="1">
        <v>39811</v>
      </c>
      <c r="H730" s="1">
        <v>38847</v>
      </c>
    </row>
    <row r="731" spans="1:8" x14ac:dyDescent="0.25">
      <c r="A731" t="s">
        <v>334</v>
      </c>
      <c r="B731" t="s">
        <v>189</v>
      </c>
      <c r="C731" t="s">
        <v>385</v>
      </c>
      <c r="D731" t="s">
        <v>337</v>
      </c>
      <c r="E731" s="1">
        <v>39988</v>
      </c>
      <c r="F731" s="2">
        <v>12185000</v>
      </c>
      <c r="G731" s="1">
        <v>39988</v>
      </c>
      <c r="H731" s="1">
        <v>38847</v>
      </c>
    </row>
    <row r="732" spans="1:8" x14ac:dyDescent="0.25">
      <c r="A732" t="s">
        <v>334</v>
      </c>
      <c r="B732" t="s">
        <v>189</v>
      </c>
      <c r="C732" t="s">
        <v>385</v>
      </c>
      <c r="D732" t="s">
        <v>337</v>
      </c>
      <c r="E732" s="1">
        <v>40182</v>
      </c>
      <c r="F732" s="2">
        <v>12185000</v>
      </c>
      <c r="G732" s="1">
        <v>40182</v>
      </c>
      <c r="H732" s="1">
        <v>38847</v>
      </c>
    </row>
    <row r="733" spans="1:8" x14ac:dyDescent="0.25">
      <c r="A733" t="s">
        <v>334</v>
      </c>
      <c r="B733" t="s">
        <v>189</v>
      </c>
      <c r="C733" t="s">
        <v>385</v>
      </c>
      <c r="D733" t="s">
        <v>337</v>
      </c>
      <c r="E733" s="1">
        <v>40351</v>
      </c>
      <c r="F733" s="2">
        <v>7000000</v>
      </c>
      <c r="G733" s="1">
        <v>40351</v>
      </c>
      <c r="H733" s="1">
        <v>38847</v>
      </c>
    </row>
    <row r="734" spans="1:8" x14ac:dyDescent="0.25">
      <c r="A734" t="s">
        <v>334</v>
      </c>
      <c r="B734" t="s">
        <v>189</v>
      </c>
      <c r="C734" t="s">
        <v>385</v>
      </c>
      <c r="D734" t="s">
        <v>337</v>
      </c>
      <c r="E734" s="1">
        <v>40361</v>
      </c>
      <c r="F734" s="2">
        <v>4440000</v>
      </c>
      <c r="G734" s="1">
        <v>40361</v>
      </c>
      <c r="H734" s="1">
        <v>40360</v>
      </c>
    </row>
    <row r="735" spans="1:8" x14ac:dyDescent="0.25">
      <c r="A735" t="s">
        <v>334</v>
      </c>
      <c r="B735" t="s">
        <v>189</v>
      </c>
      <c r="C735" t="s">
        <v>385</v>
      </c>
      <c r="D735" t="s">
        <v>337</v>
      </c>
      <c r="E735" s="1">
        <v>40534</v>
      </c>
      <c r="F735" s="2">
        <v>4440000</v>
      </c>
      <c r="G735" s="1">
        <v>40534</v>
      </c>
      <c r="H735" s="1">
        <v>40360</v>
      </c>
    </row>
    <row r="736" spans="1:8" x14ac:dyDescent="0.25">
      <c r="A736" t="s">
        <v>334</v>
      </c>
      <c r="B736" t="s">
        <v>189</v>
      </c>
      <c r="C736" t="s">
        <v>385</v>
      </c>
      <c r="D736" t="s">
        <v>337</v>
      </c>
      <c r="E736" s="1">
        <v>40896</v>
      </c>
      <c r="F736" s="2">
        <v>8880000</v>
      </c>
      <c r="G736" s="1">
        <v>40896</v>
      </c>
      <c r="H736" s="1">
        <v>40360</v>
      </c>
    </row>
    <row r="737" spans="1:8" x14ac:dyDescent="0.25">
      <c r="A737" t="s">
        <v>334</v>
      </c>
      <c r="B737" t="s">
        <v>189</v>
      </c>
      <c r="C737" t="s">
        <v>385</v>
      </c>
      <c r="D737" t="s">
        <v>337</v>
      </c>
      <c r="E737" s="1">
        <v>41177</v>
      </c>
      <c r="F737" s="2">
        <v>4440000</v>
      </c>
      <c r="G737" s="1">
        <v>41177</v>
      </c>
      <c r="H737" s="1">
        <v>40360</v>
      </c>
    </row>
    <row r="738" spans="1:8" x14ac:dyDescent="0.25">
      <c r="A738" t="s">
        <v>334</v>
      </c>
      <c r="B738" t="s">
        <v>189</v>
      </c>
      <c r="C738" t="s">
        <v>385</v>
      </c>
      <c r="D738" t="s">
        <v>337</v>
      </c>
      <c r="E738" s="1">
        <v>41576</v>
      </c>
      <c r="F738" s="2">
        <v>8890000</v>
      </c>
      <c r="G738" s="1">
        <v>41576</v>
      </c>
      <c r="H738" s="1">
        <v>41568</v>
      </c>
    </row>
    <row r="739" spans="1:8" x14ac:dyDescent="0.25">
      <c r="A739" t="s">
        <v>334</v>
      </c>
      <c r="B739" t="s">
        <v>189</v>
      </c>
      <c r="C739" t="s">
        <v>385</v>
      </c>
      <c r="D739" t="s">
        <v>337</v>
      </c>
      <c r="E739" s="1">
        <v>41821</v>
      </c>
      <c r="F739" s="2">
        <v>8890000</v>
      </c>
      <c r="G739" s="1">
        <v>41821</v>
      </c>
      <c r="H739" s="1">
        <v>41568</v>
      </c>
    </row>
    <row r="740" spans="1:8" x14ac:dyDescent="0.25">
      <c r="A740" t="s">
        <v>334</v>
      </c>
      <c r="B740" t="s">
        <v>189</v>
      </c>
      <c r="C740" t="s">
        <v>385</v>
      </c>
      <c r="D740" t="s">
        <v>337</v>
      </c>
      <c r="E740" s="1">
        <v>41914</v>
      </c>
      <c r="F740" s="2">
        <v>25925000</v>
      </c>
      <c r="G740" s="1">
        <v>41914</v>
      </c>
      <c r="H740" s="1">
        <v>41568</v>
      </c>
    </row>
    <row r="741" spans="1:8" x14ac:dyDescent="0.25">
      <c r="A741" t="s">
        <v>334</v>
      </c>
      <c r="B741" t="s">
        <v>189</v>
      </c>
      <c r="C741" t="s">
        <v>385</v>
      </c>
      <c r="D741" t="s">
        <v>337</v>
      </c>
      <c r="E741" s="1">
        <v>42069</v>
      </c>
      <c r="F741" s="2">
        <v>60740000</v>
      </c>
      <c r="G741" s="1">
        <v>42069</v>
      </c>
      <c r="H741" s="1">
        <v>41568</v>
      </c>
    </row>
    <row r="742" spans="1:8" x14ac:dyDescent="0.25">
      <c r="A742" t="s">
        <v>334</v>
      </c>
      <c r="B742" t="s">
        <v>189</v>
      </c>
      <c r="C742" t="s">
        <v>385</v>
      </c>
      <c r="D742" t="s">
        <v>337</v>
      </c>
      <c r="E742" s="1">
        <v>42332</v>
      </c>
      <c r="F742" s="2">
        <v>33335000</v>
      </c>
      <c r="G742" s="1">
        <v>42332</v>
      </c>
      <c r="H742" s="1">
        <v>41568</v>
      </c>
    </row>
    <row r="743" spans="1:8" x14ac:dyDescent="0.25">
      <c r="A743" t="s">
        <v>334</v>
      </c>
      <c r="B743" t="s">
        <v>189</v>
      </c>
      <c r="C743" t="s">
        <v>385</v>
      </c>
      <c r="D743" t="s">
        <v>337</v>
      </c>
      <c r="E743" s="1">
        <v>42562</v>
      </c>
      <c r="F743" s="2">
        <v>24440000</v>
      </c>
      <c r="G743" s="1">
        <v>42562</v>
      </c>
      <c r="H743" s="1">
        <v>41568</v>
      </c>
    </row>
    <row r="744" spans="1:8" x14ac:dyDescent="0.25">
      <c r="A744" t="s">
        <v>334</v>
      </c>
      <c r="B744" t="s">
        <v>189</v>
      </c>
      <c r="C744" t="s">
        <v>385</v>
      </c>
      <c r="D744" t="s">
        <v>337</v>
      </c>
      <c r="E744" s="1">
        <v>42718</v>
      </c>
      <c r="F744" s="2">
        <v>24440000</v>
      </c>
      <c r="G744" s="1">
        <v>42718</v>
      </c>
      <c r="H744" s="1">
        <v>41568</v>
      </c>
    </row>
    <row r="745" spans="1:8" x14ac:dyDescent="0.25">
      <c r="A745" t="s">
        <v>334</v>
      </c>
      <c r="B745" t="s">
        <v>189</v>
      </c>
      <c r="C745" t="s">
        <v>385</v>
      </c>
      <c r="D745" t="s">
        <v>337</v>
      </c>
      <c r="E745" s="1">
        <v>42899</v>
      </c>
      <c r="F745" s="2">
        <v>39166000</v>
      </c>
      <c r="G745" s="1">
        <v>42899</v>
      </c>
      <c r="H745" s="1">
        <v>42891</v>
      </c>
    </row>
    <row r="746" spans="1:8" x14ac:dyDescent="0.25">
      <c r="A746" t="s">
        <v>334</v>
      </c>
      <c r="B746" t="s">
        <v>189</v>
      </c>
      <c r="C746" t="s">
        <v>385</v>
      </c>
      <c r="D746" t="s">
        <v>337</v>
      </c>
      <c r="E746" s="1">
        <v>43444</v>
      </c>
      <c r="F746" s="2">
        <v>15555000</v>
      </c>
      <c r="G746" s="1">
        <v>43444</v>
      </c>
      <c r="H746" s="1">
        <v>43434</v>
      </c>
    </row>
    <row r="747" spans="1:8" x14ac:dyDescent="0.25">
      <c r="A747" t="s">
        <v>334</v>
      </c>
      <c r="B747" t="s">
        <v>189</v>
      </c>
      <c r="C747" t="s">
        <v>385</v>
      </c>
      <c r="D747" t="s">
        <v>337</v>
      </c>
      <c r="E747" s="1">
        <v>43654</v>
      </c>
      <c r="F747" s="2">
        <v>15555000</v>
      </c>
      <c r="G747" s="1">
        <v>43654</v>
      </c>
      <c r="H747" s="1">
        <v>43434</v>
      </c>
    </row>
    <row r="748" spans="1:8" x14ac:dyDescent="0.25">
      <c r="A748" t="s">
        <v>334</v>
      </c>
      <c r="B748" t="s">
        <v>189</v>
      </c>
      <c r="C748" t="s">
        <v>385</v>
      </c>
      <c r="D748" t="s">
        <v>337</v>
      </c>
      <c r="E748" s="1">
        <v>43928</v>
      </c>
      <c r="F748" s="2">
        <v>15555000</v>
      </c>
      <c r="G748" s="1">
        <v>43928</v>
      </c>
      <c r="H748" s="1">
        <v>43434</v>
      </c>
    </row>
    <row r="749" spans="1:8" x14ac:dyDescent="0.25">
      <c r="A749" t="s">
        <v>334</v>
      </c>
      <c r="B749" t="s">
        <v>189</v>
      </c>
      <c r="C749" t="s">
        <v>385</v>
      </c>
      <c r="D749" t="s">
        <v>337</v>
      </c>
      <c r="E749" s="1">
        <v>44406</v>
      </c>
      <c r="F749" s="2">
        <v>31110000</v>
      </c>
      <c r="G749" s="1">
        <v>44406</v>
      </c>
      <c r="H749" s="1">
        <v>43434</v>
      </c>
    </row>
    <row r="750" spans="1:8" x14ac:dyDescent="0.25">
      <c r="A750" t="s">
        <v>334</v>
      </c>
      <c r="B750" t="s">
        <v>189</v>
      </c>
      <c r="C750" t="s">
        <v>385</v>
      </c>
      <c r="D750" t="s">
        <v>337</v>
      </c>
      <c r="E750" s="1">
        <v>44741</v>
      </c>
      <c r="F750" s="2">
        <v>15555000</v>
      </c>
      <c r="G750" s="1">
        <v>44741</v>
      </c>
      <c r="H750" s="1">
        <v>43434</v>
      </c>
    </row>
    <row r="751" spans="1:8" x14ac:dyDescent="0.25">
      <c r="A751" t="s">
        <v>334</v>
      </c>
      <c r="B751" t="s">
        <v>189</v>
      </c>
      <c r="C751" t="s">
        <v>385</v>
      </c>
      <c r="D751" t="s">
        <v>337</v>
      </c>
      <c r="E751" s="1">
        <v>45084</v>
      </c>
      <c r="F751" s="2">
        <v>15555000</v>
      </c>
      <c r="G751" s="1">
        <v>45084</v>
      </c>
      <c r="H751" s="1">
        <v>43434</v>
      </c>
    </row>
    <row r="752" spans="1:8" x14ac:dyDescent="0.25">
      <c r="A752" t="s">
        <v>334</v>
      </c>
      <c r="B752" t="s">
        <v>189</v>
      </c>
      <c r="C752" t="s">
        <v>385</v>
      </c>
      <c r="D752" t="s">
        <v>337</v>
      </c>
      <c r="E752" s="1">
        <v>45252</v>
      </c>
      <c r="F752" s="2">
        <v>15555000</v>
      </c>
      <c r="G752" s="1">
        <v>45252</v>
      </c>
      <c r="H752" s="1">
        <v>43434</v>
      </c>
    </row>
    <row r="753" spans="1:8" x14ac:dyDescent="0.25">
      <c r="A753" t="s">
        <v>334</v>
      </c>
      <c r="B753" t="s">
        <v>189</v>
      </c>
      <c r="C753" t="s">
        <v>385</v>
      </c>
      <c r="D753" t="s">
        <v>337</v>
      </c>
      <c r="E753" s="1">
        <v>45600</v>
      </c>
      <c r="F753" s="2">
        <v>34999000</v>
      </c>
      <c r="G753" s="1">
        <v>45600</v>
      </c>
      <c r="H753" s="1">
        <v>45596</v>
      </c>
    </row>
    <row r="754" spans="1:8" x14ac:dyDescent="0.25">
      <c r="A754" t="s">
        <v>334</v>
      </c>
      <c r="B754" t="s">
        <v>190</v>
      </c>
      <c r="C754" t="s">
        <v>386</v>
      </c>
      <c r="D754" t="s">
        <v>364</v>
      </c>
      <c r="E754" s="1">
        <v>40352</v>
      </c>
      <c r="F754" s="2">
        <v>3120000</v>
      </c>
      <c r="G754" s="1">
        <v>40352</v>
      </c>
      <c r="H754" s="1">
        <v>40331</v>
      </c>
    </row>
    <row r="755" spans="1:8" x14ac:dyDescent="0.25">
      <c r="A755" t="s">
        <v>334</v>
      </c>
      <c r="B755" t="s">
        <v>190</v>
      </c>
      <c r="C755" t="s">
        <v>386</v>
      </c>
      <c r="D755" t="s">
        <v>364</v>
      </c>
      <c r="E755" s="1">
        <v>40511</v>
      </c>
      <c r="F755" s="2">
        <v>3120000</v>
      </c>
      <c r="G755" s="1">
        <v>40511</v>
      </c>
      <c r="H755" s="1">
        <v>40331</v>
      </c>
    </row>
    <row r="756" spans="1:8" x14ac:dyDescent="0.25">
      <c r="A756" t="s">
        <v>334</v>
      </c>
      <c r="B756" t="s">
        <v>190</v>
      </c>
      <c r="C756" t="s">
        <v>386</v>
      </c>
      <c r="D756" t="s">
        <v>364</v>
      </c>
      <c r="E756" s="1">
        <v>40731</v>
      </c>
      <c r="F756" s="2">
        <v>3120000</v>
      </c>
      <c r="G756" s="1">
        <v>40731</v>
      </c>
      <c r="H756" s="1">
        <v>40331</v>
      </c>
    </row>
    <row r="757" spans="1:8" x14ac:dyDescent="0.25">
      <c r="A757" t="s">
        <v>334</v>
      </c>
      <c r="B757" t="s">
        <v>190</v>
      </c>
      <c r="C757" t="s">
        <v>386</v>
      </c>
      <c r="D757" t="s">
        <v>364</v>
      </c>
      <c r="E757" s="1">
        <v>40878</v>
      </c>
      <c r="F757" s="2">
        <v>3120000</v>
      </c>
      <c r="G757" s="1">
        <v>40878</v>
      </c>
      <c r="H757" s="1">
        <v>40331</v>
      </c>
    </row>
    <row r="758" spans="1:8" x14ac:dyDescent="0.25">
      <c r="A758" t="s">
        <v>334</v>
      </c>
      <c r="B758" t="s">
        <v>190</v>
      </c>
      <c r="C758" t="s">
        <v>386</v>
      </c>
      <c r="D758" t="s">
        <v>337</v>
      </c>
      <c r="E758" s="1">
        <v>41254</v>
      </c>
      <c r="F758" s="2">
        <v>148571</v>
      </c>
      <c r="G758" s="1">
        <v>41254</v>
      </c>
      <c r="H758" s="1">
        <v>41250</v>
      </c>
    </row>
    <row r="759" spans="1:8" x14ac:dyDescent="0.25">
      <c r="A759" t="s">
        <v>334</v>
      </c>
      <c r="B759" t="s">
        <v>190</v>
      </c>
      <c r="C759" t="s">
        <v>386</v>
      </c>
      <c r="D759" t="s">
        <v>337</v>
      </c>
      <c r="E759" s="1">
        <v>41465</v>
      </c>
      <c r="F759" s="2">
        <v>148571</v>
      </c>
      <c r="G759" s="1">
        <v>41465</v>
      </c>
      <c r="H759" s="1">
        <v>41250</v>
      </c>
    </row>
    <row r="760" spans="1:8" x14ac:dyDescent="0.25">
      <c r="A760" t="s">
        <v>334</v>
      </c>
      <c r="B760" t="s">
        <v>190</v>
      </c>
      <c r="C760" t="s">
        <v>386</v>
      </c>
      <c r="D760" t="s">
        <v>337</v>
      </c>
      <c r="E760" s="1">
        <v>41655</v>
      </c>
      <c r="F760" s="2">
        <v>148571</v>
      </c>
      <c r="G760" s="1">
        <v>41655</v>
      </c>
      <c r="H760" s="1">
        <v>41250</v>
      </c>
    </row>
    <row r="761" spans="1:8" x14ac:dyDescent="0.25">
      <c r="A761" t="s">
        <v>334</v>
      </c>
      <c r="B761" t="s">
        <v>190</v>
      </c>
      <c r="C761" t="s">
        <v>386</v>
      </c>
      <c r="D761" t="s">
        <v>337</v>
      </c>
      <c r="E761" s="1">
        <v>41821</v>
      </c>
      <c r="F761" s="2">
        <v>148571</v>
      </c>
      <c r="G761" s="1">
        <v>41821</v>
      </c>
      <c r="H761" s="1">
        <v>41250</v>
      </c>
    </row>
    <row r="762" spans="1:8" x14ac:dyDescent="0.25">
      <c r="A762" t="s">
        <v>334</v>
      </c>
      <c r="B762" t="s">
        <v>190</v>
      </c>
      <c r="C762" t="s">
        <v>386</v>
      </c>
      <c r="D762" t="s">
        <v>337</v>
      </c>
      <c r="E762" s="1">
        <v>42114</v>
      </c>
      <c r="F762" s="2">
        <v>148571</v>
      </c>
      <c r="G762" s="1">
        <v>42114</v>
      </c>
      <c r="H762" s="1">
        <v>41250</v>
      </c>
    </row>
    <row r="763" spans="1:8" x14ac:dyDescent="0.25">
      <c r="A763" t="s">
        <v>334</v>
      </c>
      <c r="B763" t="s">
        <v>190</v>
      </c>
      <c r="C763" t="s">
        <v>386</v>
      </c>
      <c r="D763" t="s">
        <v>337</v>
      </c>
      <c r="E763" s="1">
        <v>42460</v>
      </c>
      <c r="F763" s="2">
        <v>297145</v>
      </c>
      <c r="G763" s="1">
        <v>42460</v>
      </c>
      <c r="H763" s="1">
        <v>41250</v>
      </c>
    </row>
    <row r="764" spans="1:8" x14ac:dyDescent="0.25">
      <c r="A764" t="s">
        <v>339</v>
      </c>
      <c r="B764" t="s">
        <v>191</v>
      </c>
      <c r="C764" t="s">
        <v>387</v>
      </c>
      <c r="D764" t="s">
        <v>340</v>
      </c>
      <c r="E764" s="1">
        <v>43915</v>
      </c>
      <c r="F764" s="2">
        <v>39567780</v>
      </c>
      <c r="G764" s="1">
        <v>43915</v>
      </c>
      <c r="H764" s="1">
        <v>43915</v>
      </c>
    </row>
    <row r="765" spans="1:8" x14ac:dyDescent="0.25">
      <c r="A765" t="s">
        <v>334</v>
      </c>
      <c r="B765" t="s">
        <v>191</v>
      </c>
      <c r="C765" t="s">
        <v>387</v>
      </c>
      <c r="D765" t="s">
        <v>337</v>
      </c>
      <c r="E765" s="1">
        <v>43915</v>
      </c>
      <c r="F765" s="2">
        <v>210862000</v>
      </c>
      <c r="G765" s="1">
        <v>43915</v>
      </c>
      <c r="H765" s="1">
        <v>43915</v>
      </c>
    </row>
    <row r="766" spans="1:8" x14ac:dyDescent="0.25">
      <c r="A766" t="s">
        <v>334</v>
      </c>
      <c r="B766" t="s">
        <v>191</v>
      </c>
      <c r="C766" t="s">
        <v>387</v>
      </c>
      <c r="D766" t="s">
        <v>337</v>
      </c>
      <c r="E766" s="1">
        <v>44155</v>
      </c>
      <c r="F766" s="2">
        <v>7000000</v>
      </c>
      <c r="G766" s="1">
        <v>44155</v>
      </c>
      <c r="H766" s="1">
        <v>43915</v>
      </c>
    </row>
    <row r="767" spans="1:8" x14ac:dyDescent="0.25">
      <c r="A767" t="s">
        <v>334</v>
      </c>
      <c r="B767" t="s">
        <v>191</v>
      </c>
      <c r="C767" t="s">
        <v>387</v>
      </c>
      <c r="D767" t="s">
        <v>337</v>
      </c>
      <c r="E767" s="1">
        <v>44734</v>
      </c>
      <c r="F767" s="2">
        <v>14000000</v>
      </c>
      <c r="G767" s="1">
        <v>44734</v>
      </c>
      <c r="H767" s="1">
        <v>43915</v>
      </c>
    </row>
    <row r="768" spans="1:8" x14ac:dyDescent="0.25">
      <c r="A768" t="s">
        <v>334</v>
      </c>
      <c r="B768" t="s">
        <v>191</v>
      </c>
      <c r="C768" t="s">
        <v>387</v>
      </c>
      <c r="D768" t="s">
        <v>337</v>
      </c>
      <c r="E768" s="1">
        <v>44902</v>
      </c>
      <c r="F768" s="2">
        <v>7000000</v>
      </c>
      <c r="G768" s="1">
        <v>44902</v>
      </c>
      <c r="H768" s="1">
        <v>43915</v>
      </c>
    </row>
    <row r="769" spans="1:8" x14ac:dyDescent="0.25">
      <c r="A769" t="s">
        <v>334</v>
      </c>
      <c r="B769" t="s">
        <v>191</v>
      </c>
      <c r="C769" t="s">
        <v>387</v>
      </c>
      <c r="D769" t="s">
        <v>337</v>
      </c>
      <c r="E769" s="1">
        <v>45065</v>
      </c>
      <c r="F769" s="2">
        <v>7000000</v>
      </c>
      <c r="G769" s="1">
        <v>45065</v>
      </c>
      <c r="H769" s="1">
        <v>43915</v>
      </c>
    </row>
    <row r="770" spans="1:8" x14ac:dyDescent="0.25">
      <c r="A770" t="s">
        <v>334</v>
      </c>
      <c r="B770" t="s">
        <v>191</v>
      </c>
      <c r="C770" t="s">
        <v>387</v>
      </c>
      <c r="D770" t="s">
        <v>337</v>
      </c>
      <c r="E770" s="1">
        <v>45275</v>
      </c>
      <c r="F770" s="2">
        <v>7000000</v>
      </c>
      <c r="G770" s="1">
        <v>45275</v>
      </c>
      <c r="H770" s="1">
        <v>43915</v>
      </c>
    </row>
    <row r="771" spans="1:8" x14ac:dyDescent="0.25">
      <c r="A771" t="s">
        <v>334</v>
      </c>
      <c r="B771" t="s">
        <v>191</v>
      </c>
      <c r="C771" t="s">
        <v>387</v>
      </c>
      <c r="D771" t="s">
        <v>337</v>
      </c>
      <c r="E771" s="1">
        <v>45281</v>
      </c>
      <c r="F771" s="2">
        <v>30000000</v>
      </c>
      <c r="G771" s="1">
        <v>45281</v>
      </c>
      <c r="H771" s="1">
        <v>45279</v>
      </c>
    </row>
    <row r="772" spans="1:8" x14ac:dyDescent="0.25">
      <c r="A772" t="s">
        <v>334</v>
      </c>
      <c r="B772" t="s">
        <v>191</v>
      </c>
      <c r="C772" t="s">
        <v>387</v>
      </c>
      <c r="D772" t="s">
        <v>337</v>
      </c>
      <c r="E772" s="1">
        <v>45443</v>
      </c>
      <c r="F772" s="2">
        <v>7500000</v>
      </c>
      <c r="G772" s="1">
        <v>45443</v>
      </c>
      <c r="H772" s="1">
        <v>45279</v>
      </c>
    </row>
    <row r="773" spans="1:8" x14ac:dyDescent="0.25">
      <c r="A773" t="s">
        <v>334</v>
      </c>
      <c r="B773" t="s">
        <v>191</v>
      </c>
      <c r="C773" t="s">
        <v>387</v>
      </c>
      <c r="D773" t="s">
        <v>337</v>
      </c>
      <c r="E773" s="1">
        <v>45637</v>
      </c>
      <c r="F773" s="2">
        <v>7500000</v>
      </c>
      <c r="G773" s="1">
        <v>45637</v>
      </c>
      <c r="H773" s="1">
        <v>45279</v>
      </c>
    </row>
    <row r="774" spans="1:8" x14ac:dyDescent="0.25">
      <c r="A774" t="s">
        <v>334</v>
      </c>
      <c r="B774" t="s">
        <v>196</v>
      </c>
      <c r="C774" t="s">
        <v>388</v>
      </c>
      <c r="D774" t="s">
        <v>337</v>
      </c>
      <c r="E774" s="1">
        <v>44376</v>
      </c>
      <c r="F774" s="2">
        <v>991551000</v>
      </c>
      <c r="G774" s="1">
        <v>44376</v>
      </c>
      <c r="H774" s="1">
        <v>44376</v>
      </c>
    </row>
    <row r="775" spans="1:8" x14ac:dyDescent="0.25">
      <c r="A775" t="s">
        <v>334</v>
      </c>
      <c r="B775" t="s">
        <v>389</v>
      </c>
      <c r="C775" t="s">
        <v>390</v>
      </c>
      <c r="D775" t="s">
        <v>337</v>
      </c>
      <c r="E775" s="1">
        <v>38441</v>
      </c>
      <c r="F775" s="2">
        <v>9800000</v>
      </c>
      <c r="G775" s="1">
        <v>38441</v>
      </c>
      <c r="H775" s="1">
        <v>37601</v>
      </c>
    </row>
    <row r="776" spans="1:8" x14ac:dyDescent="0.25">
      <c r="A776" t="s">
        <v>334</v>
      </c>
      <c r="B776" t="s">
        <v>389</v>
      </c>
      <c r="C776" t="s">
        <v>390</v>
      </c>
      <c r="D776" t="s">
        <v>337</v>
      </c>
      <c r="E776" s="1">
        <v>38560</v>
      </c>
      <c r="F776" s="2">
        <v>9800000</v>
      </c>
      <c r="G776" s="1">
        <v>38560</v>
      </c>
      <c r="H776" s="1">
        <v>37601</v>
      </c>
    </row>
    <row r="777" spans="1:8" x14ac:dyDescent="0.25">
      <c r="A777" t="s">
        <v>334</v>
      </c>
      <c r="B777" t="s">
        <v>389</v>
      </c>
      <c r="C777" t="s">
        <v>390</v>
      </c>
      <c r="D777" t="s">
        <v>337</v>
      </c>
      <c r="E777" s="1">
        <v>38758</v>
      </c>
      <c r="F777" s="2">
        <v>9800000</v>
      </c>
      <c r="G777" s="1">
        <v>38758</v>
      </c>
      <c r="H777" s="1">
        <v>37601</v>
      </c>
    </row>
    <row r="778" spans="1:8" x14ac:dyDescent="0.25">
      <c r="A778" t="s">
        <v>334</v>
      </c>
      <c r="B778" t="s">
        <v>389</v>
      </c>
      <c r="C778" t="s">
        <v>390</v>
      </c>
      <c r="D778" t="s">
        <v>337</v>
      </c>
      <c r="E778" s="1">
        <v>39940</v>
      </c>
      <c r="F778" s="2">
        <v>26100000</v>
      </c>
      <c r="G778" s="1">
        <v>39940</v>
      </c>
      <c r="H778" s="1">
        <v>39924</v>
      </c>
    </row>
    <row r="779" spans="1:8" x14ac:dyDescent="0.25">
      <c r="A779" t="s">
        <v>334</v>
      </c>
      <c r="B779" t="s">
        <v>389</v>
      </c>
      <c r="C779" t="s">
        <v>390</v>
      </c>
      <c r="D779" t="s">
        <v>337</v>
      </c>
      <c r="E779" s="1">
        <v>40351</v>
      </c>
      <c r="F779" s="2">
        <v>26120000</v>
      </c>
      <c r="G779" s="1">
        <v>40351</v>
      </c>
      <c r="H779" s="1">
        <v>39924</v>
      </c>
    </row>
    <row r="780" spans="1:8" x14ac:dyDescent="0.25">
      <c r="A780" t="s">
        <v>334</v>
      </c>
      <c r="B780" t="s">
        <v>389</v>
      </c>
      <c r="C780" t="s">
        <v>390</v>
      </c>
      <c r="D780" t="s">
        <v>337</v>
      </c>
      <c r="E780" s="1">
        <v>40518</v>
      </c>
      <c r="F780" s="2">
        <v>13045000</v>
      </c>
      <c r="G780" s="1">
        <v>40518</v>
      </c>
      <c r="H780" s="1">
        <v>39924</v>
      </c>
    </row>
    <row r="781" spans="1:8" x14ac:dyDescent="0.25">
      <c r="A781" t="s">
        <v>334</v>
      </c>
      <c r="B781" t="s">
        <v>389</v>
      </c>
      <c r="C781" t="s">
        <v>390</v>
      </c>
      <c r="D781" t="s">
        <v>337</v>
      </c>
      <c r="E781" s="1">
        <v>40688</v>
      </c>
      <c r="F781" s="2">
        <v>13045000</v>
      </c>
      <c r="G781" s="1">
        <v>40688</v>
      </c>
      <c r="H781" s="1">
        <v>39924</v>
      </c>
    </row>
    <row r="782" spans="1:8" x14ac:dyDescent="0.25">
      <c r="A782" t="s">
        <v>334</v>
      </c>
      <c r="B782" t="s">
        <v>389</v>
      </c>
      <c r="C782" t="s">
        <v>390</v>
      </c>
      <c r="D782" t="s">
        <v>337</v>
      </c>
      <c r="E782" s="1">
        <v>40925</v>
      </c>
      <c r="F782" s="2">
        <v>13045000</v>
      </c>
      <c r="G782" s="1">
        <v>40925</v>
      </c>
      <c r="H782" s="1">
        <v>39924</v>
      </c>
    </row>
    <row r="783" spans="1:8" x14ac:dyDescent="0.25">
      <c r="A783" t="s">
        <v>334</v>
      </c>
      <c r="B783" t="s">
        <v>389</v>
      </c>
      <c r="C783" t="s">
        <v>390</v>
      </c>
      <c r="D783" t="s">
        <v>337</v>
      </c>
      <c r="E783" s="1">
        <v>41038</v>
      </c>
      <c r="F783" s="2">
        <v>13045000</v>
      </c>
      <c r="G783" s="1">
        <v>41038</v>
      </c>
      <c r="H783" s="1">
        <v>39924</v>
      </c>
    </row>
    <row r="784" spans="1:8" x14ac:dyDescent="0.25">
      <c r="A784" t="s">
        <v>334</v>
      </c>
      <c r="B784" t="s">
        <v>200</v>
      </c>
      <c r="C784" t="s">
        <v>391</v>
      </c>
      <c r="D784" t="s">
        <v>337</v>
      </c>
      <c r="E784" s="1">
        <v>38412</v>
      </c>
      <c r="F784" s="2">
        <v>2800000</v>
      </c>
      <c r="G784" s="1">
        <v>38412</v>
      </c>
      <c r="H784" s="1">
        <v>37849</v>
      </c>
    </row>
    <row r="785" spans="1:8" x14ac:dyDescent="0.25">
      <c r="A785" t="s">
        <v>334</v>
      </c>
      <c r="B785" t="s">
        <v>200</v>
      </c>
      <c r="C785" t="s">
        <v>391</v>
      </c>
      <c r="D785" t="s">
        <v>337</v>
      </c>
      <c r="E785" s="1">
        <v>38576</v>
      </c>
      <c r="F785" s="2">
        <v>2800000</v>
      </c>
      <c r="G785" s="1">
        <v>38576</v>
      </c>
      <c r="H785" s="1">
        <v>37849</v>
      </c>
    </row>
    <row r="786" spans="1:8" x14ac:dyDescent="0.25">
      <c r="A786" t="s">
        <v>334</v>
      </c>
      <c r="B786" t="s">
        <v>200</v>
      </c>
      <c r="C786" t="s">
        <v>391</v>
      </c>
      <c r="D786" t="s">
        <v>337</v>
      </c>
      <c r="E786" s="1">
        <v>38828</v>
      </c>
      <c r="F786" s="2">
        <v>2800000</v>
      </c>
      <c r="G786" s="1">
        <v>38828</v>
      </c>
      <c r="H786" s="1">
        <v>37849</v>
      </c>
    </row>
    <row r="787" spans="1:8" x14ac:dyDescent="0.25">
      <c r="A787" t="s">
        <v>334</v>
      </c>
      <c r="B787" t="s">
        <v>200</v>
      </c>
      <c r="C787" t="s">
        <v>391</v>
      </c>
      <c r="D787" t="s">
        <v>337</v>
      </c>
      <c r="E787" s="1">
        <v>39139</v>
      </c>
      <c r="F787" s="2">
        <v>2800000</v>
      </c>
      <c r="G787" s="1">
        <v>39139</v>
      </c>
      <c r="H787" s="1">
        <v>37849</v>
      </c>
    </row>
    <row r="788" spans="1:8" x14ac:dyDescent="0.25">
      <c r="A788" t="s">
        <v>334</v>
      </c>
      <c r="B788" t="s">
        <v>200</v>
      </c>
      <c r="C788" t="s">
        <v>391</v>
      </c>
      <c r="D788" t="s">
        <v>364</v>
      </c>
      <c r="E788" s="1">
        <v>41324</v>
      </c>
      <c r="F788" s="2">
        <v>74600000</v>
      </c>
      <c r="G788" s="1">
        <v>41324</v>
      </c>
      <c r="H788" s="1">
        <v>41096</v>
      </c>
    </row>
    <row r="789" spans="1:8" x14ac:dyDescent="0.25">
      <c r="A789" t="s">
        <v>334</v>
      </c>
      <c r="B789" t="s">
        <v>200</v>
      </c>
      <c r="C789" t="s">
        <v>391</v>
      </c>
      <c r="D789" t="s">
        <v>337</v>
      </c>
      <c r="E789" s="1">
        <v>44762</v>
      </c>
      <c r="F789" s="2">
        <v>115360000</v>
      </c>
      <c r="G789" s="1">
        <v>44762</v>
      </c>
      <c r="H789" s="1">
        <v>44760</v>
      </c>
    </row>
    <row r="790" spans="1:8" x14ac:dyDescent="0.25">
      <c r="A790" t="s">
        <v>334</v>
      </c>
      <c r="B790" t="s">
        <v>200</v>
      </c>
      <c r="C790" t="s">
        <v>391</v>
      </c>
      <c r="D790" t="s">
        <v>337</v>
      </c>
      <c r="E790" s="1">
        <v>45042</v>
      </c>
      <c r="F790" s="2">
        <v>113370000</v>
      </c>
      <c r="G790" s="1">
        <v>45042</v>
      </c>
      <c r="H790" s="1">
        <v>44760</v>
      </c>
    </row>
    <row r="791" spans="1:8" x14ac:dyDescent="0.25">
      <c r="A791" t="s">
        <v>334</v>
      </c>
      <c r="B791" t="s">
        <v>200</v>
      </c>
      <c r="C791" t="s">
        <v>391</v>
      </c>
      <c r="D791" t="s">
        <v>337</v>
      </c>
      <c r="E791" s="1">
        <v>45275</v>
      </c>
      <c r="F791" s="2">
        <v>113370000</v>
      </c>
      <c r="G791" s="1">
        <v>45275</v>
      </c>
      <c r="H791" s="1">
        <v>44760</v>
      </c>
    </row>
    <row r="792" spans="1:8" x14ac:dyDescent="0.25">
      <c r="A792" t="s">
        <v>334</v>
      </c>
      <c r="B792" t="s">
        <v>200</v>
      </c>
      <c r="C792" t="s">
        <v>391</v>
      </c>
      <c r="D792" t="s">
        <v>337</v>
      </c>
      <c r="E792" s="1">
        <v>45467</v>
      </c>
      <c r="F792" s="2">
        <v>113370000</v>
      </c>
      <c r="G792" s="1">
        <v>45467</v>
      </c>
      <c r="H792" s="1">
        <v>44760</v>
      </c>
    </row>
    <row r="793" spans="1:8" x14ac:dyDescent="0.25">
      <c r="A793" t="s">
        <v>334</v>
      </c>
      <c r="B793" t="s">
        <v>200</v>
      </c>
      <c r="C793" t="s">
        <v>391</v>
      </c>
      <c r="D793" t="s">
        <v>337</v>
      </c>
      <c r="E793" s="1">
        <v>45643</v>
      </c>
      <c r="F793" s="2">
        <v>113370000</v>
      </c>
      <c r="G793" s="1">
        <v>45643</v>
      </c>
      <c r="H793" s="1">
        <v>44760</v>
      </c>
    </row>
    <row r="794" spans="1:8" x14ac:dyDescent="0.25">
      <c r="A794" t="s">
        <v>334</v>
      </c>
      <c r="B794" t="s">
        <v>202</v>
      </c>
      <c r="C794" t="s">
        <v>392</v>
      </c>
      <c r="D794" t="s">
        <v>337</v>
      </c>
      <c r="E794" s="1">
        <v>39568</v>
      </c>
      <c r="F794" s="2">
        <v>13260000</v>
      </c>
      <c r="G794" s="1">
        <v>39568</v>
      </c>
      <c r="H794" s="1">
        <v>39559</v>
      </c>
    </row>
    <row r="795" spans="1:8" x14ac:dyDescent="0.25">
      <c r="A795" t="s">
        <v>334</v>
      </c>
      <c r="B795" t="s">
        <v>202</v>
      </c>
      <c r="C795" t="s">
        <v>392</v>
      </c>
      <c r="D795" t="s">
        <v>337</v>
      </c>
      <c r="E795" s="1">
        <v>39728</v>
      </c>
      <c r="F795" s="2">
        <v>17975000</v>
      </c>
      <c r="G795" s="1">
        <v>39728</v>
      </c>
      <c r="H795" s="1">
        <v>39559</v>
      </c>
    </row>
    <row r="796" spans="1:8" x14ac:dyDescent="0.25">
      <c r="A796" t="s">
        <v>334</v>
      </c>
      <c r="B796" t="s">
        <v>202</v>
      </c>
      <c r="C796" t="s">
        <v>392</v>
      </c>
      <c r="D796" t="s">
        <v>337</v>
      </c>
      <c r="E796" s="1">
        <v>39940</v>
      </c>
      <c r="F796" s="2">
        <v>17975000</v>
      </c>
      <c r="G796" s="1">
        <v>39940</v>
      </c>
      <c r="H796" s="1">
        <v>39559</v>
      </c>
    </row>
    <row r="797" spans="1:8" x14ac:dyDescent="0.25">
      <c r="A797" t="s">
        <v>334</v>
      </c>
      <c r="B797" t="s">
        <v>202</v>
      </c>
      <c r="C797" t="s">
        <v>392</v>
      </c>
      <c r="D797" t="s">
        <v>337</v>
      </c>
      <c r="E797" s="1">
        <v>40150</v>
      </c>
      <c r="F797" s="2">
        <v>8800000</v>
      </c>
      <c r="G797" s="1">
        <v>40150</v>
      </c>
      <c r="H797" s="1">
        <v>39559</v>
      </c>
    </row>
    <row r="798" spans="1:8" x14ac:dyDescent="0.25">
      <c r="A798" t="s">
        <v>334</v>
      </c>
      <c r="B798" t="s">
        <v>202</v>
      </c>
      <c r="C798" t="s">
        <v>392</v>
      </c>
      <c r="D798" t="s">
        <v>337</v>
      </c>
      <c r="E798" s="1">
        <v>40374</v>
      </c>
      <c r="F798" s="2">
        <v>14300000</v>
      </c>
      <c r="G798" s="1">
        <v>40374</v>
      </c>
      <c r="H798" s="1">
        <v>39559</v>
      </c>
    </row>
    <row r="799" spans="1:8" x14ac:dyDescent="0.25">
      <c r="A799" t="s">
        <v>334</v>
      </c>
      <c r="B799" t="s">
        <v>202</v>
      </c>
      <c r="C799" t="s">
        <v>392</v>
      </c>
      <c r="D799" t="s">
        <v>337</v>
      </c>
      <c r="E799" s="1">
        <v>40534</v>
      </c>
      <c r="F799" s="2">
        <v>14300000</v>
      </c>
      <c r="G799" s="1">
        <v>40534</v>
      </c>
      <c r="H799" s="1">
        <v>39559</v>
      </c>
    </row>
    <row r="800" spans="1:8" x14ac:dyDescent="0.25">
      <c r="A800" t="s">
        <v>334</v>
      </c>
      <c r="B800" t="s">
        <v>202</v>
      </c>
      <c r="C800" t="s">
        <v>392</v>
      </c>
      <c r="D800" t="s">
        <v>337</v>
      </c>
      <c r="E800" s="1">
        <v>40750</v>
      </c>
      <c r="F800" s="2">
        <v>8800000</v>
      </c>
      <c r="G800" s="1">
        <v>40750</v>
      </c>
      <c r="H800" s="1">
        <v>39559</v>
      </c>
    </row>
    <row r="801" spans="1:8" x14ac:dyDescent="0.25">
      <c r="A801" t="s">
        <v>334</v>
      </c>
      <c r="B801" t="s">
        <v>202</v>
      </c>
      <c r="C801" t="s">
        <v>392</v>
      </c>
      <c r="D801" t="s">
        <v>337</v>
      </c>
      <c r="E801" s="1">
        <v>42870</v>
      </c>
      <c r="F801" s="2">
        <v>25170000</v>
      </c>
      <c r="G801" s="1">
        <v>42870</v>
      </c>
      <c r="H801" s="1">
        <v>42860</v>
      </c>
    </row>
    <row r="802" spans="1:8" x14ac:dyDescent="0.25">
      <c r="A802" t="s">
        <v>334</v>
      </c>
      <c r="B802" t="s">
        <v>202</v>
      </c>
      <c r="C802" t="s">
        <v>392</v>
      </c>
      <c r="D802" t="s">
        <v>337</v>
      </c>
      <c r="E802" s="1">
        <v>43091</v>
      </c>
      <c r="F802" s="2">
        <v>25170000</v>
      </c>
      <c r="G802" s="1">
        <v>43091</v>
      </c>
      <c r="H802" s="1">
        <v>42860</v>
      </c>
    </row>
    <row r="803" spans="1:8" x14ac:dyDescent="0.25">
      <c r="A803" t="s">
        <v>334</v>
      </c>
      <c r="B803" t="s">
        <v>202</v>
      </c>
      <c r="C803" t="s">
        <v>392</v>
      </c>
      <c r="D803" t="s">
        <v>337</v>
      </c>
      <c r="E803" s="1">
        <v>43276</v>
      </c>
      <c r="F803" s="2">
        <v>25170000</v>
      </c>
      <c r="G803" s="1">
        <v>43276</v>
      </c>
      <c r="H803" s="1">
        <v>42860</v>
      </c>
    </row>
    <row r="804" spans="1:8" x14ac:dyDescent="0.25">
      <c r="A804" t="s">
        <v>334</v>
      </c>
      <c r="B804" t="s">
        <v>202</v>
      </c>
      <c r="C804" t="s">
        <v>392</v>
      </c>
      <c r="D804" t="s">
        <v>337</v>
      </c>
      <c r="E804" s="1">
        <v>43452</v>
      </c>
      <c r="F804" s="2">
        <v>25170000</v>
      </c>
      <c r="G804" s="1">
        <v>43452</v>
      </c>
      <c r="H804" s="1">
        <v>42860</v>
      </c>
    </row>
    <row r="805" spans="1:8" x14ac:dyDescent="0.25">
      <c r="A805" t="s">
        <v>334</v>
      </c>
      <c r="B805" t="s">
        <v>202</v>
      </c>
      <c r="C805" t="s">
        <v>392</v>
      </c>
      <c r="D805" t="s">
        <v>337</v>
      </c>
      <c r="E805" s="1">
        <v>43654</v>
      </c>
      <c r="F805" s="2">
        <v>25170000</v>
      </c>
      <c r="G805" s="1">
        <v>43654</v>
      </c>
      <c r="H805" s="1">
        <v>42860</v>
      </c>
    </row>
    <row r="806" spans="1:8" x14ac:dyDescent="0.25">
      <c r="A806" t="s">
        <v>334</v>
      </c>
      <c r="B806" t="s">
        <v>202</v>
      </c>
      <c r="C806" t="s">
        <v>392</v>
      </c>
      <c r="D806" t="s">
        <v>337</v>
      </c>
      <c r="E806" s="1">
        <v>43773</v>
      </c>
      <c r="F806" s="2">
        <v>25170000</v>
      </c>
      <c r="G806" s="1">
        <v>43773</v>
      </c>
      <c r="H806" s="1">
        <v>42860</v>
      </c>
    </row>
    <row r="807" spans="1:8" x14ac:dyDescent="0.25">
      <c r="A807" t="s">
        <v>334</v>
      </c>
      <c r="B807" t="s">
        <v>202</v>
      </c>
      <c r="C807" t="s">
        <v>392</v>
      </c>
      <c r="D807" t="s">
        <v>337</v>
      </c>
      <c r="E807" s="1">
        <v>43928</v>
      </c>
      <c r="F807" s="2">
        <v>96630000</v>
      </c>
      <c r="G807" s="1">
        <v>43928</v>
      </c>
      <c r="H807" s="1">
        <v>42860</v>
      </c>
    </row>
    <row r="808" spans="1:8" x14ac:dyDescent="0.25">
      <c r="A808" t="s">
        <v>334</v>
      </c>
      <c r="B808" t="s">
        <v>202</v>
      </c>
      <c r="C808" t="s">
        <v>392</v>
      </c>
      <c r="D808" t="s">
        <v>337</v>
      </c>
      <c r="E808" s="1">
        <v>45356</v>
      </c>
      <c r="F808" s="2">
        <v>51380000</v>
      </c>
      <c r="G808" s="1">
        <v>45356</v>
      </c>
      <c r="H808" s="1">
        <v>45352</v>
      </c>
    </row>
    <row r="809" spans="1:8" x14ac:dyDescent="0.25">
      <c r="A809" t="s">
        <v>334</v>
      </c>
      <c r="B809" t="s">
        <v>202</v>
      </c>
      <c r="C809" t="s">
        <v>392</v>
      </c>
      <c r="D809" t="s">
        <v>337</v>
      </c>
      <c r="E809" s="1">
        <v>45650</v>
      </c>
      <c r="F809" s="2">
        <v>44040000</v>
      </c>
      <c r="G809" s="1">
        <v>45650</v>
      </c>
      <c r="H809" s="1">
        <v>45352</v>
      </c>
    </row>
    <row r="810" spans="1:8" x14ac:dyDescent="0.25">
      <c r="A810" t="s">
        <v>334</v>
      </c>
      <c r="B810" t="s">
        <v>206</v>
      </c>
      <c r="C810" t="s">
        <v>393</v>
      </c>
      <c r="D810" t="s">
        <v>337</v>
      </c>
      <c r="E810" s="1">
        <v>38415</v>
      </c>
      <c r="F810" s="2">
        <v>2000000</v>
      </c>
      <c r="G810" s="1">
        <v>38415</v>
      </c>
      <c r="H810" s="1">
        <v>37512</v>
      </c>
    </row>
    <row r="811" spans="1:8" x14ac:dyDescent="0.25">
      <c r="A811" t="s">
        <v>334</v>
      </c>
      <c r="B811" t="s">
        <v>206</v>
      </c>
      <c r="C811" t="s">
        <v>393</v>
      </c>
      <c r="D811" t="s">
        <v>337</v>
      </c>
      <c r="E811" s="1">
        <v>38568</v>
      </c>
      <c r="F811" s="2">
        <v>2000000</v>
      </c>
      <c r="G811" s="1">
        <v>38568</v>
      </c>
      <c r="H811" s="1">
        <v>37512</v>
      </c>
    </row>
    <row r="812" spans="1:8" x14ac:dyDescent="0.25">
      <c r="A812" t="s">
        <v>334</v>
      </c>
      <c r="B812" t="s">
        <v>206</v>
      </c>
      <c r="C812" t="s">
        <v>393</v>
      </c>
      <c r="D812" t="s">
        <v>337</v>
      </c>
      <c r="E812" s="1">
        <v>38748</v>
      </c>
      <c r="F812" s="2">
        <v>2000000</v>
      </c>
      <c r="G812" s="1">
        <v>38748</v>
      </c>
      <c r="H812" s="1">
        <v>37512</v>
      </c>
    </row>
    <row r="813" spans="1:8" x14ac:dyDescent="0.25">
      <c r="A813" t="s">
        <v>334</v>
      </c>
      <c r="B813" t="s">
        <v>206</v>
      </c>
      <c r="C813" t="s">
        <v>393</v>
      </c>
      <c r="D813" t="s">
        <v>337</v>
      </c>
      <c r="E813" s="1">
        <v>44377</v>
      </c>
      <c r="F813" s="2">
        <v>180500000</v>
      </c>
      <c r="G813" s="1">
        <v>44377</v>
      </c>
      <c r="H813" s="1">
        <v>44375</v>
      </c>
    </row>
    <row r="814" spans="1:8" x14ac:dyDescent="0.25">
      <c r="A814" t="s">
        <v>334</v>
      </c>
      <c r="B814" t="s">
        <v>206</v>
      </c>
      <c r="C814" t="s">
        <v>393</v>
      </c>
      <c r="D814" t="s">
        <v>337</v>
      </c>
      <c r="E814" s="1">
        <v>44631</v>
      </c>
      <c r="F814" s="2">
        <v>90250000</v>
      </c>
      <c r="G814" s="1">
        <v>44631</v>
      </c>
      <c r="H814" s="1">
        <v>44375</v>
      </c>
    </row>
    <row r="815" spans="1:8" x14ac:dyDescent="0.25">
      <c r="A815" t="s">
        <v>334</v>
      </c>
      <c r="B815" t="s">
        <v>206</v>
      </c>
      <c r="C815" t="s">
        <v>393</v>
      </c>
      <c r="D815" t="s">
        <v>337</v>
      </c>
      <c r="E815" s="1">
        <v>44945</v>
      </c>
      <c r="F815" s="2">
        <v>180500000</v>
      </c>
      <c r="G815" s="1">
        <v>44945</v>
      </c>
      <c r="H815" s="1">
        <v>44375</v>
      </c>
    </row>
    <row r="816" spans="1:8" x14ac:dyDescent="0.25">
      <c r="A816" t="s">
        <v>334</v>
      </c>
      <c r="B816" t="s">
        <v>206</v>
      </c>
      <c r="C816" t="s">
        <v>393</v>
      </c>
      <c r="D816" t="s">
        <v>337</v>
      </c>
      <c r="E816" s="1">
        <v>45100</v>
      </c>
      <c r="F816" s="2">
        <v>90250000</v>
      </c>
      <c r="G816" s="1">
        <v>45100</v>
      </c>
      <c r="H816" s="1">
        <v>44375</v>
      </c>
    </row>
    <row r="817" spans="1:8" x14ac:dyDescent="0.25">
      <c r="A817" t="s">
        <v>334</v>
      </c>
      <c r="B817" t="s">
        <v>206</v>
      </c>
      <c r="C817" t="s">
        <v>393</v>
      </c>
      <c r="D817" t="s">
        <v>337</v>
      </c>
      <c r="E817" s="1">
        <v>45362</v>
      </c>
      <c r="F817" s="2">
        <v>90250000</v>
      </c>
      <c r="G817" s="1">
        <v>45362</v>
      </c>
      <c r="H817" s="1">
        <v>44375</v>
      </c>
    </row>
    <row r="818" spans="1:8" x14ac:dyDescent="0.25">
      <c r="A818" t="s">
        <v>334</v>
      </c>
      <c r="B818" t="s">
        <v>394</v>
      </c>
      <c r="C818" t="s">
        <v>395</v>
      </c>
      <c r="D818" t="s">
        <v>337</v>
      </c>
      <c r="E818" s="1">
        <v>40406</v>
      </c>
      <c r="F818" s="2">
        <v>34790000</v>
      </c>
      <c r="G818" s="1">
        <v>40406</v>
      </c>
      <c r="H818" s="1">
        <v>40389</v>
      </c>
    </row>
    <row r="819" spans="1:8" x14ac:dyDescent="0.25">
      <c r="A819" t="s">
        <v>334</v>
      </c>
      <c r="B819" t="s">
        <v>394</v>
      </c>
      <c r="C819" t="s">
        <v>395</v>
      </c>
      <c r="D819" t="s">
        <v>337</v>
      </c>
      <c r="E819" s="1">
        <v>41892</v>
      </c>
      <c r="F819" s="2">
        <v>48750000</v>
      </c>
      <c r="G819" s="1">
        <v>41892</v>
      </c>
      <c r="H819" s="1">
        <v>41884</v>
      </c>
    </row>
    <row r="820" spans="1:8" x14ac:dyDescent="0.25">
      <c r="A820" t="s">
        <v>334</v>
      </c>
      <c r="B820" t="s">
        <v>212</v>
      </c>
      <c r="C820" t="s">
        <v>396</v>
      </c>
      <c r="D820" t="s">
        <v>337</v>
      </c>
      <c r="E820" s="1">
        <v>38457</v>
      </c>
      <c r="F820" s="2">
        <v>5502000</v>
      </c>
      <c r="G820" s="1">
        <v>38457</v>
      </c>
      <c r="H820" s="1">
        <v>38154</v>
      </c>
    </row>
    <row r="821" spans="1:8" x14ac:dyDescent="0.25">
      <c r="A821" t="s">
        <v>334</v>
      </c>
      <c r="B821" t="s">
        <v>212</v>
      </c>
      <c r="C821" t="s">
        <v>396</v>
      </c>
      <c r="D821" t="s">
        <v>337</v>
      </c>
      <c r="E821" s="1">
        <v>38665</v>
      </c>
      <c r="F821" s="2">
        <v>5502400</v>
      </c>
      <c r="G821" s="1">
        <v>38665</v>
      </c>
      <c r="H821" s="1">
        <v>38154</v>
      </c>
    </row>
    <row r="822" spans="1:8" x14ac:dyDescent="0.25">
      <c r="A822" t="s">
        <v>334</v>
      </c>
      <c r="B822" t="s">
        <v>212</v>
      </c>
      <c r="C822" t="s">
        <v>396</v>
      </c>
      <c r="D822" t="s">
        <v>337</v>
      </c>
      <c r="E822" s="1">
        <v>38742</v>
      </c>
      <c r="F822" s="2">
        <v>11004800</v>
      </c>
      <c r="G822" s="1">
        <v>38742</v>
      </c>
      <c r="H822" s="1">
        <v>38154</v>
      </c>
    </row>
    <row r="823" spans="1:8" x14ac:dyDescent="0.25">
      <c r="A823" t="s">
        <v>334</v>
      </c>
      <c r="B823" t="s">
        <v>212</v>
      </c>
      <c r="C823" t="s">
        <v>396</v>
      </c>
      <c r="D823" t="s">
        <v>337</v>
      </c>
      <c r="E823" s="1">
        <v>38930</v>
      </c>
      <c r="F823" s="2">
        <v>5502400</v>
      </c>
      <c r="G823" s="1">
        <v>38930</v>
      </c>
      <c r="H823" s="1">
        <v>38154</v>
      </c>
    </row>
    <row r="824" spans="1:8" x14ac:dyDescent="0.25">
      <c r="A824" t="s">
        <v>334</v>
      </c>
      <c r="B824" t="s">
        <v>212</v>
      </c>
      <c r="C824" t="s">
        <v>396</v>
      </c>
      <c r="D824" t="s">
        <v>337</v>
      </c>
      <c r="E824" s="1">
        <v>39255</v>
      </c>
      <c r="F824" s="2">
        <v>22009000</v>
      </c>
      <c r="G824" s="1">
        <v>39255</v>
      </c>
      <c r="H824" s="1">
        <v>38154</v>
      </c>
    </row>
    <row r="825" spans="1:8" x14ac:dyDescent="0.25">
      <c r="A825" t="s">
        <v>334</v>
      </c>
      <c r="B825" t="s">
        <v>212</v>
      </c>
      <c r="C825" t="s">
        <v>396</v>
      </c>
      <c r="D825" t="s">
        <v>337</v>
      </c>
      <c r="E825" s="1">
        <v>39353</v>
      </c>
      <c r="F825" s="2">
        <v>5502400</v>
      </c>
      <c r="G825" s="1">
        <v>39353</v>
      </c>
      <c r="H825" s="1">
        <v>38154</v>
      </c>
    </row>
    <row r="826" spans="1:8" x14ac:dyDescent="0.25">
      <c r="A826" t="s">
        <v>334</v>
      </c>
      <c r="B826" t="s">
        <v>212</v>
      </c>
      <c r="C826" t="s">
        <v>396</v>
      </c>
      <c r="D826" t="s">
        <v>337</v>
      </c>
      <c r="E826" s="1">
        <v>39617</v>
      </c>
      <c r="F826" s="2">
        <v>6987000</v>
      </c>
      <c r="G826" s="1">
        <v>39617</v>
      </c>
      <c r="H826" s="1">
        <v>39603</v>
      </c>
    </row>
    <row r="827" spans="1:8" x14ac:dyDescent="0.25">
      <c r="A827" t="s">
        <v>334</v>
      </c>
      <c r="B827" t="s">
        <v>212</v>
      </c>
      <c r="C827" t="s">
        <v>396</v>
      </c>
      <c r="D827" t="s">
        <v>337</v>
      </c>
      <c r="E827" s="1">
        <v>39951</v>
      </c>
      <c r="F827" s="2">
        <v>106910000</v>
      </c>
      <c r="G827" s="1">
        <v>39951</v>
      </c>
      <c r="H827" s="1">
        <v>39603</v>
      </c>
    </row>
    <row r="828" spans="1:8" x14ac:dyDescent="0.25">
      <c r="A828" t="s">
        <v>334</v>
      </c>
      <c r="B828" t="s">
        <v>212</v>
      </c>
      <c r="C828" t="s">
        <v>396</v>
      </c>
      <c r="D828" t="s">
        <v>337</v>
      </c>
      <c r="E828" s="1">
        <v>40177</v>
      </c>
      <c r="F828" s="2">
        <v>51013000</v>
      </c>
      <c r="G828" s="1">
        <v>40177</v>
      </c>
      <c r="H828" s="1">
        <v>39603</v>
      </c>
    </row>
    <row r="829" spans="1:8" x14ac:dyDescent="0.25">
      <c r="A829" t="s">
        <v>334</v>
      </c>
      <c r="B829" t="s">
        <v>212</v>
      </c>
      <c r="C829" t="s">
        <v>396</v>
      </c>
      <c r="D829" t="s">
        <v>337</v>
      </c>
      <c r="E829" s="1">
        <v>40374</v>
      </c>
      <c r="F829" s="2">
        <v>18395000</v>
      </c>
      <c r="G829" s="1">
        <v>40374</v>
      </c>
      <c r="H829" s="1">
        <v>39603</v>
      </c>
    </row>
    <row r="830" spans="1:8" x14ac:dyDescent="0.25">
      <c r="A830" t="s">
        <v>334</v>
      </c>
      <c r="B830" t="s">
        <v>212</v>
      </c>
      <c r="C830" t="s">
        <v>396</v>
      </c>
      <c r="D830" t="s">
        <v>337</v>
      </c>
      <c r="E830" s="1">
        <v>40534</v>
      </c>
      <c r="F830" s="2">
        <v>18395000</v>
      </c>
      <c r="G830" s="1">
        <v>40534</v>
      </c>
      <c r="H830" s="1">
        <v>39603</v>
      </c>
    </row>
    <row r="831" spans="1:8" x14ac:dyDescent="0.25">
      <c r="A831" t="s">
        <v>334</v>
      </c>
      <c r="B831" t="s">
        <v>212</v>
      </c>
      <c r="C831" t="s">
        <v>396</v>
      </c>
      <c r="D831" t="s">
        <v>337</v>
      </c>
      <c r="E831" s="1">
        <v>40723</v>
      </c>
      <c r="F831" s="2">
        <v>18395000</v>
      </c>
      <c r="G831" s="1">
        <v>40723</v>
      </c>
      <c r="H831" s="1">
        <v>39603</v>
      </c>
    </row>
    <row r="832" spans="1:8" x14ac:dyDescent="0.25">
      <c r="A832" t="s">
        <v>334</v>
      </c>
      <c r="B832" t="s">
        <v>212</v>
      </c>
      <c r="C832" t="s">
        <v>396</v>
      </c>
      <c r="D832" t="s">
        <v>337</v>
      </c>
      <c r="E832" s="1">
        <v>44806</v>
      </c>
      <c r="F832" s="2">
        <v>139880000</v>
      </c>
      <c r="G832" s="1">
        <v>44806</v>
      </c>
      <c r="H832" s="1">
        <v>44804</v>
      </c>
    </row>
    <row r="833" spans="1:8" x14ac:dyDescent="0.25">
      <c r="A833" t="s">
        <v>334</v>
      </c>
      <c r="B833" t="s">
        <v>212</v>
      </c>
      <c r="C833" t="s">
        <v>396</v>
      </c>
      <c r="D833" t="s">
        <v>337</v>
      </c>
      <c r="E833" s="1">
        <v>45124</v>
      </c>
      <c r="F833" s="2">
        <v>139880000</v>
      </c>
      <c r="G833" s="1">
        <v>45124</v>
      </c>
      <c r="H833" s="1">
        <v>44804</v>
      </c>
    </row>
    <row r="834" spans="1:8" x14ac:dyDescent="0.25">
      <c r="A834" t="s">
        <v>334</v>
      </c>
      <c r="B834" t="s">
        <v>212</v>
      </c>
      <c r="C834" t="s">
        <v>396</v>
      </c>
      <c r="D834" t="s">
        <v>337</v>
      </c>
      <c r="E834" s="1">
        <v>45282</v>
      </c>
      <c r="F834" s="2">
        <v>139880000</v>
      </c>
      <c r="G834" s="1">
        <v>45282</v>
      </c>
      <c r="H834" s="1">
        <v>44804</v>
      </c>
    </row>
    <row r="835" spans="1:8" x14ac:dyDescent="0.25">
      <c r="A835" t="s">
        <v>334</v>
      </c>
      <c r="B835" t="s">
        <v>212</v>
      </c>
      <c r="C835" t="s">
        <v>396</v>
      </c>
      <c r="D835" t="s">
        <v>337</v>
      </c>
      <c r="E835" s="1">
        <v>45471</v>
      </c>
      <c r="F835" s="2">
        <v>433340000</v>
      </c>
      <c r="G835" s="1">
        <v>45471</v>
      </c>
      <c r="H835" s="1">
        <v>44804</v>
      </c>
    </row>
    <row r="836" spans="1:8" x14ac:dyDescent="0.25">
      <c r="A836" t="s">
        <v>334</v>
      </c>
      <c r="B836" t="s">
        <v>212</v>
      </c>
      <c r="C836" t="s">
        <v>396</v>
      </c>
      <c r="D836" t="s">
        <v>337</v>
      </c>
      <c r="E836" s="1">
        <v>45644</v>
      </c>
      <c r="F836" s="2">
        <v>139880000</v>
      </c>
      <c r="G836" s="1">
        <v>45644</v>
      </c>
      <c r="H836" s="1">
        <v>44804</v>
      </c>
    </row>
  </sheetData>
  <autoFilter ref="A1:H836" xr:uid="{86AB4206-86C8-4929-9005-1B24A464C4A5}"/>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01457-7383-43C2-898E-5FEBEA8FED5C}">
  <dimension ref="A1:BJ167"/>
  <sheetViews>
    <sheetView topLeftCell="AA9" workbookViewId="0">
      <selection activeCell="BI11" sqref="BI11"/>
    </sheetView>
  </sheetViews>
  <sheetFormatPr defaultRowHeight="12.5" x14ac:dyDescent="0.25"/>
  <cols>
    <col min="5" max="6" width="12.7265625" customWidth="1"/>
    <col min="7" max="10" width="12.7265625" hidden="1" customWidth="1"/>
    <col min="11" max="15" width="12.7265625" customWidth="1"/>
    <col min="40" max="40" width="28" bestFit="1" customWidth="1"/>
    <col min="41" max="60" width="12" hidden="1" customWidth="1"/>
  </cols>
  <sheetData>
    <row r="1" spans="1:62" x14ac:dyDescent="0.25">
      <c r="A1" t="s">
        <v>397</v>
      </c>
      <c r="B1" t="s">
        <v>398</v>
      </c>
    </row>
    <row r="2" spans="1:62" x14ac:dyDescent="0.25">
      <c r="A2" t="s">
        <v>399</v>
      </c>
      <c r="B2" t="s">
        <v>400</v>
      </c>
    </row>
    <row r="3" spans="1:62" x14ac:dyDescent="0.25">
      <c r="A3" t="s">
        <v>401</v>
      </c>
      <c r="B3" t="s">
        <v>402</v>
      </c>
    </row>
    <row r="4" spans="1:62" x14ac:dyDescent="0.25">
      <c r="A4" t="s">
        <v>403</v>
      </c>
      <c r="B4" s="1">
        <v>38353</v>
      </c>
    </row>
    <row r="5" spans="1:62" x14ac:dyDescent="0.25">
      <c r="A5" t="s">
        <v>404</v>
      </c>
      <c r="B5" s="1">
        <v>45657</v>
      </c>
    </row>
    <row r="6" spans="1:62" x14ac:dyDescent="0.25">
      <c r="A6" t="s">
        <v>405</v>
      </c>
      <c r="B6" t="s">
        <v>406</v>
      </c>
    </row>
    <row r="8" spans="1:62" x14ac:dyDescent="0.25">
      <c r="A8" t="s">
        <v>407</v>
      </c>
    </row>
    <row r="9" spans="1:62" x14ac:dyDescent="0.25">
      <c r="F9" t="s">
        <v>408</v>
      </c>
      <c r="G9" t="s">
        <v>408</v>
      </c>
      <c r="H9" t="s">
        <v>408</v>
      </c>
      <c r="I9" t="s">
        <v>408</v>
      </c>
      <c r="J9" t="s">
        <v>408</v>
      </c>
      <c r="K9" t="s">
        <v>409</v>
      </c>
      <c r="L9" t="s">
        <v>409</v>
      </c>
      <c r="M9" t="s">
        <v>409</v>
      </c>
      <c r="N9" t="s">
        <v>409</v>
      </c>
      <c r="O9" t="s">
        <v>409</v>
      </c>
      <c r="P9" t="s">
        <v>409</v>
      </c>
    </row>
    <row r="10" spans="1:62" x14ac:dyDescent="0.25">
      <c r="A10" t="s">
        <v>327</v>
      </c>
      <c r="B10" t="s">
        <v>328</v>
      </c>
      <c r="C10" t="s">
        <v>410</v>
      </c>
      <c r="D10" t="s">
        <v>411</v>
      </c>
      <c r="E10" t="s">
        <v>412</v>
      </c>
      <c r="F10" t="s">
        <v>413</v>
      </c>
      <c r="G10" t="s">
        <v>414</v>
      </c>
      <c r="H10" t="s">
        <v>415</v>
      </c>
      <c r="I10" t="s">
        <v>416</v>
      </c>
      <c r="J10" t="s">
        <v>417</v>
      </c>
      <c r="K10" t="s">
        <v>413</v>
      </c>
      <c r="L10" t="s">
        <v>414</v>
      </c>
      <c r="M10" t="s">
        <v>415</v>
      </c>
      <c r="N10" t="s">
        <v>418</v>
      </c>
      <c r="O10" t="s">
        <v>419</v>
      </c>
      <c r="P10" t="s">
        <v>420</v>
      </c>
      <c r="Q10" t="s">
        <v>421</v>
      </c>
      <c r="R10" t="s">
        <v>422</v>
      </c>
      <c r="S10">
        <v>2005</v>
      </c>
      <c r="T10">
        <f>S10+1</f>
        <v>2006</v>
      </c>
      <c r="U10">
        <f t="shared" ref="U10:AL10" si="0">T10+1</f>
        <v>2007</v>
      </c>
      <c r="V10">
        <f t="shared" si="0"/>
        <v>2008</v>
      </c>
      <c r="W10">
        <f t="shared" si="0"/>
        <v>2009</v>
      </c>
      <c r="X10">
        <f t="shared" si="0"/>
        <v>2010</v>
      </c>
      <c r="Y10">
        <f t="shared" si="0"/>
        <v>2011</v>
      </c>
      <c r="Z10">
        <f t="shared" si="0"/>
        <v>2012</v>
      </c>
      <c r="AA10">
        <f t="shared" si="0"/>
        <v>2013</v>
      </c>
      <c r="AB10">
        <f t="shared" si="0"/>
        <v>2014</v>
      </c>
      <c r="AC10">
        <f t="shared" si="0"/>
        <v>2015</v>
      </c>
      <c r="AD10">
        <f t="shared" si="0"/>
        <v>2016</v>
      </c>
      <c r="AE10">
        <f>AD10+1</f>
        <v>2017</v>
      </c>
      <c r="AF10">
        <f t="shared" si="0"/>
        <v>2018</v>
      </c>
      <c r="AG10">
        <f t="shared" si="0"/>
        <v>2019</v>
      </c>
      <c r="AH10">
        <f t="shared" si="0"/>
        <v>2020</v>
      </c>
      <c r="AI10">
        <f t="shared" si="0"/>
        <v>2021</v>
      </c>
      <c r="AJ10">
        <f t="shared" si="0"/>
        <v>2022</v>
      </c>
      <c r="AK10">
        <f>AJ10+1</f>
        <v>2023</v>
      </c>
      <c r="AL10">
        <f t="shared" si="0"/>
        <v>2024</v>
      </c>
      <c r="AN10" t="s">
        <v>423</v>
      </c>
      <c r="AO10" t="s">
        <v>424</v>
      </c>
      <c r="AP10" t="s">
        <v>425</v>
      </c>
      <c r="AQ10" t="s">
        <v>426</v>
      </c>
      <c r="AR10" t="s">
        <v>427</v>
      </c>
      <c r="AS10" t="s">
        <v>428</v>
      </c>
      <c r="AT10" t="s">
        <v>429</v>
      </c>
      <c r="AU10" t="s">
        <v>430</v>
      </c>
      <c r="AV10" t="s">
        <v>431</v>
      </c>
      <c r="AW10" t="s">
        <v>432</v>
      </c>
      <c r="AX10" t="s">
        <v>433</v>
      </c>
      <c r="AY10" t="s">
        <v>434</v>
      </c>
      <c r="AZ10" t="s">
        <v>435</v>
      </c>
      <c r="BA10" t="s">
        <v>436</v>
      </c>
      <c r="BB10" t="s">
        <v>437</v>
      </c>
      <c r="BC10" t="s">
        <v>438</v>
      </c>
      <c r="BD10" t="s">
        <v>439</v>
      </c>
      <c r="BE10" t="s">
        <v>440</v>
      </c>
      <c r="BF10" t="s">
        <v>441</v>
      </c>
      <c r="BG10" t="s">
        <v>442</v>
      </c>
      <c r="BH10" t="s">
        <v>443</v>
      </c>
    </row>
    <row r="11" spans="1:62" x14ac:dyDescent="0.25">
      <c r="A11" t="s">
        <v>335</v>
      </c>
      <c r="B11" t="s">
        <v>336</v>
      </c>
      <c r="C11" t="s">
        <v>444</v>
      </c>
      <c r="D11" t="s">
        <v>337</v>
      </c>
      <c r="E11" s="9">
        <v>38894</v>
      </c>
      <c r="F11" s="9">
        <v>39989</v>
      </c>
      <c r="G11" s="2">
        <v>81000000</v>
      </c>
      <c r="H11">
        <v>50</v>
      </c>
      <c r="I11" t="s">
        <v>445</v>
      </c>
      <c r="J11" t="s">
        <v>445</v>
      </c>
      <c r="K11" s="9">
        <v>40446</v>
      </c>
      <c r="L11" s="2">
        <v>81000000</v>
      </c>
      <c r="M11">
        <v>25</v>
      </c>
      <c r="N11" s="2">
        <v>75350000</v>
      </c>
      <c r="O11">
        <v>0</v>
      </c>
      <c r="P11" t="s">
        <v>446</v>
      </c>
      <c r="Q11">
        <f>YEAR(E11)</f>
        <v>2006</v>
      </c>
      <c r="R11">
        <f>MIN(YEAR(F11), 2024)</f>
        <v>2009</v>
      </c>
      <c r="S11">
        <f>IF(AND(S$10 &gt;= $Q11, S$10 &lt;= $R11), 1, 0)</f>
        <v>0</v>
      </c>
      <c r="T11">
        <f t="shared" ref="T11:AL24" si="1">IF(AND(T$10 &gt;= $Q11, T$10 &lt;= $R11), 1, 0)</f>
        <v>1</v>
      </c>
      <c r="U11">
        <f t="shared" si="1"/>
        <v>1</v>
      </c>
      <c r="V11">
        <f t="shared" si="1"/>
        <v>1</v>
      </c>
      <c r="W11">
        <f t="shared" si="1"/>
        <v>1</v>
      </c>
      <c r="X11">
        <f t="shared" si="1"/>
        <v>0</v>
      </c>
      <c r="Y11">
        <f t="shared" si="1"/>
        <v>0</v>
      </c>
      <c r="Z11">
        <f t="shared" si="1"/>
        <v>0</v>
      </c>
      <c r="AA11">
        <f t="shared" si="1"/>
        <v>0</v>
      </c>
      <c r="AB11">
        <f t="shared" si="1"/>
        <v>0</v>
      </c>
      <c r="AC11">
        <f t="shared" si="1"/>
        <v>0</v>
      </c>
      <c r="AD11">
        <f t="shared" si="1"/>
        <v>0</v>
      </c>
      <c r="AE11">
        <f t="shared" si="1"/>
        <v>0</v>
      </c>
      <c r="AF11">
        <f t="shared" si="1"/>
        <v>0</v>
      </c>
      <c r="AG11">
        <f t="shared" si="1"/>
        <v>0</v>
      </c>
      <c r="AH11">
        <f t="shared" si="1"/>
        <v>0</v>
      </c>
      <c r="AI11">
        <f t="shared" si="1"/>
        <v>0</v>
      </c>
      <c r="AJ11">
        <f t="shared" si="1"/>
        <v>0</v>
      </c>
      <c r="AK11">
        <f t="shared" si="1"/>
        <v>0</v>
      </c>
      <c r="AL11">
        <f t="shared" si="1"/>
        <v>0</v>
      </c>
      <c r="AN11" s="7" t="s">
        <v>335</v>
      </c>
      <c r="AO11">
        <v>0</v>
      </c>
      <c r="AP11">
        <v>1</v>
      </c>
      <c r="AQ11">
        <v>1</v>
      </c>
      <c r="AR11">
        <v>1</v>
      </c>
      <c r="AS11">
        <v>1</v>
      </c>
      <c r="AT11">
        <v>0</v>
      </c>
      <c r="AU11">
        <v>1</v>
      </c>
      <c r="AV11">
        <v>1</v>
      </c>
      <c r="AW11">
        <v>1</v>
      </c>
      <c r="AX11">
        <v>1</v>
      </c>
      <c r="AY11">
        <v>0</v>
      </c>
      <c r="AZ11">
        <v>1</v>
      </c>
      <c r="BA11">
        <v>1</v>
      </c>
      <c r="BB11">
        <v>1</v>
      </c>
      <c r="BC11">
        <v>1</v>
      </c>
      <c r="BD11">
        <v>1</v>
      </c>
      <c r="BE11">
        <v>1</v>
      </c>
      <c r="BF11">
        <v>1</v>
      </c>
      <c r="BG11">
        <v>1</v>
      </c>
      <c r="BH11">
        <v>1</v>
      </c>
      <c r="BI11">
        <f>IF(COUNTIF(AO11:BH11, "&lt;&gt;0")&gt;14,1,0)</f>
        <v>1</v>
      </c>
      <c r="BJ11" cm="1">
        <f t="array" ref="BJ11">IF(MAX(FREQUENCY(IF(AO11:BH11&gt;0,ROW(AO11:BH11)),IF(AO11:BH11&lt;=0,ROW(AO11:BH11))))&gt;=7, 1, 0)</f>
        <v>1</v>
      </c>
    </row>
    <row r="12" spans="1:62" x14ac:dyDescent="0.25">
      <c r="A12" t="s">
        <v>335</v>
      </c>
      <c r="B12" t="s">
        <v>336</v>
      </c>
      <c r="C12" t="s">
        <v>444</v>
      </c>
      <c r="D12" t="s">
        <v>337</v>
      </c>
      <c r="E12" s="9">
        <v>40861</v>
      </c>
      <c r="F12" s="9">
        <v>41956</v>
      </c>
      <c r="G12" s="2">
        <v>85000000</v>
      </c>
      <c r="H12">
        <v>52.5</v>
      </c>
      <c r="I12" t="s">
        <v>445</v>
      </c>
      <c r="J12" t="s">
        <v>445</v>
      </c>
      <c r="K12" s="9">
        <v>41956</v>
      </c>
      <c r="L12" s="2">
        <v>85000000</v>
      </c>
      <c r="M12">
        <v>26.3</v>
      </c>
      <c r="N12" s="2">
        <v>24000000</v>
      </c>
      <c r="O12">
        <v>0</v>
      </c>
      <c r="P12" t="s">
        <v>446</v>
      </c>
      <c r="Q12">
        <f t="shared" ref="Q12:Q75" si="2">YEAR(E12)</f>
        <v>2011</v>
      </c>
      <c r="R12">
        <f t="shared" ref="R12:R75" si="3">MIN(YEAR(F12), 2024)</f>
        <v>2014</v>
      </c>
      <c r="S12">
        <f t="shared" ref="S12:AH40" si="4">IF(AND(S$10 &gt;= $Q12, S$10 &lt;= $R12), 1, 0)</f>
        <v>0</v>
      </c>
      <c r="T12">
        <f t="shared" si="1"/>
        <v>0</v>
      </c>
      <c r="U12">
        <f t="shared" si="1"/>
        <v>0</v>
      </c>
      <c r="V12">
        <f t="shared" si="1"/>
        <v>0</v>
      </c>
      <c r="W12">
        <f t="shared" si="1"/>
        <v>0</v>
      </c>
      <c r="X12">
        <f t="shared" si="1"/>
        <v>0</v>
      </c>
      <c r="Y12">
        <f t="shared" si="1"/>
        <v>1</v>
      </c>
      <c r="Z12">
        <f t="shared" si="1"/>
        <v>1</v>
      </c>
      <c r="AA12">
        <f t="shared" si="1"/>
        <v>1</v>
      </c>
      <c r="AB12">
        <f t="shared" si="1"/>
        <v>1</v>
      </c>
      <c r="AC12">
        <f t="shared" si="1"/>
        <v>0</v>
      </c>
      <c r="AD12">
        <f t="shared" si="1"/>
        <v>0</v>
      </c>
      <c r="AE12">
        <f t="shared" si="1"/>
        <v>0</v>
      </c>
      <c r="AF12">
        <f t="shared" si="1"/>
        <v>0</v>
      </c>
      <c r="AG12">
        <f t="shared" si="1"/>
        <v>0</v>
      </c>
      <c r="AH12">
        <f t="shared" si="1"/>
        <v>0</v>
      </c>
      <c r="AI12">
        <f t="shared" si="1"/>
        <v>0</v>
      </c>
      <c r="AJ12">
        <f t="shared" si="1"/>
        <v>0</v>
      </c>
      <c r="AK12">
        <f t="shared" si="1"/>
        <v>0</v>
      </c>
      <c r="AL12">
        <f t="shared" si="1"/>
        <v>0</v>
      </c>
      <c r="AN12" s="7" t="s">
        <v>447</v>
      </c>
      <c r="AO12">
        <v>0</v>
      </c>
      <c r="AP12">
        <v>1</v>
      </c>
      <c r="AQ12">
        <v>1</v>
      </c>
      <c r="AR12">
        <v>1</v>
      </c>
      <c r="AS12">
        <v>1</v>
      </c>
      <c r="AT12">
        <v>0</v>
      </c>
      <c r="AU12">
        <v>0</v>
      </c>
      <c r="AV12">
        <v>0</v>
      </c>
      <c r="AW12">
        <v>0</v>
      </c>
      <c r="AX12">
        <v>0</v>
      </c>
      <c r="AY12">
        <v>0</v>
      </c>
      <c r="AZ12">
        <v>0</v>
      </c>
      <c r="BA12">
        <v>0</v>
      </c>
      <c r="BB12">
        <v>0</v>
      </c>
      <c r="BC12">
        <v>0</v>
      </c>
      <c r="BD12">
        <v>0</v>
      </c>
      <c r="BE12">
        <v>0</v>
      </c>
      <c r="BF12">
        <v>0</v>
      </c>
      <c r="BG12">
        <v>0</v>
      </c>
      <c r="BH12">
        <v>0</v>
      </c>
      <c r="BI12">
        <f t="shared" ref="BI12:BI63" si="5">IF(COUNTIF(AO12:BH12, "&lt;&gt;0")&gt;14,1,0)</f>
        <v>0</v>
      </c>
      <c r="BJ12" cm="1">
        <f t="array" ref="BJ12">IF(MAX(FREQUENCY(IF(AO12:BH12&gt;0,ROW(AO12:BH12)),IF(AO12:BH12&lt;=0,ROW(AO12:BH12))))&gt;=7, 1, 0)</f>
        <v>0</v>
      </c>
    </row>
    <row r="13" spans="1:62" x14ac:dyDescent="0.25">
      <c r="A13" t="s">
        <v>335</v>
      </c>
      <c r="B13" t="s">
        <v>336</v>
      </c>
      <c r="C13" t="s">
        <v>444</v>
      </c>
      <c r="D13" t="s">
        <v>337</v>
      </c>
      <c r="E13" s="9">
        <v>42571</v>
      </c>
      <c r="F13" s="9">
        <v>43665</v>
      </c>
      <c r="G13" s="2">
        <v>32380000</v>
      </c>
      <c r="H13">
        <v>10</v>
      </c>
      <c r="I13" t="s">
        <v>445</v>
      </c>
      <c r="J13" t="s">
        <v>445</v>
      </c>
      <c r="K13" s="9">
        <v>43830</v>
      </c>
      <c r="L13" s="2">
        <v>32380000</v>
      </c>
      <c r="M13">
        <v>10</v>
      </c>
      <c r="N13" s="2">
        <v>32380000</v>
      </c>
      <c r="O13" s="2">
        <v>22930000</v>
      </c>
      <c r="P13" t="s">
        <v>446</v>
      </c>
      <c r="Q13">
        <f t="shared" si="2"/>
        <v>2016</v>
      </c>
      <c r="R13">
        <f t="shared" si="3"/>
        <v>2019</v>
      </c>
      <c r="S13">
        <f t="shared" si="4"/>
        <v>0</v>
      </c>
      <c r="T13">
        <f t="shared" si="1"/>
        <v>0</v>
      </c>
      <c r="U13">
        <f t="shared" si="1"/>
        <v>0</v>
      </c>
      <c r="V13">
        <f t="shared" si="1"/>
        <v>0</v>
      </c>
      <c r="W13">
        <f t="shared" si="1"/>
        <v>0</v>
      </c>
      <c r="X13">
        <f t="shared" si="1"/>
        <v>0</v>
      </c>
      <c r="Y13">
        <f t="shared" si="1"/>
        <v>0</v>
      </c>
      <c r="Z13">
        <f t="shared" si="1"/>
        <v>0</v>
      </c>
      <c r="AA13">
        <f t="shared" si="1"/>
        <v>0</v>
      </c>
      <c r="AB13">
        <f t="shared" si="1"/>
        <v>0</v>
      </c>
      <c r="AC13">
        <f t="shared" si="1"/>
        <v>0</v>
      </c>
      <c r="AD13">
        <f t="shared" si="1"/>
        <v>1</v>
      </c>
      <c r="AE13">
        <f t="shared" si="1"/>
        <v>1</v>
      </c>
      <c r="AF13">
        <f t="shared" si="1"/>
        <v>1</v>
      </c>
      <c r="AG13">
        <f t="shared" si="1"/>
        <v>1</v>
      </c>
      <c r="AH13">
        <f t="shared" si="1"/>
        <v>0</v>
      </c>
      <c r="AI13">
        <f t="shared" si="1"/>
        <v>0</v>
      </c>
      <c r="AJ13">
        <f t="shared" si="1"/>
        <v>0</v>
      </c>
      <c r="AK13">
        <f t="shared" si="1"/>
        <v>0</v>
      </c>
      <c r="AL13">
        <f t="shared" si="1"/>
        <v>0</v>
      </c>
      <c r="AN13" s="7" t="s">
        <v>448</v>
      </c>
      <c r="AO13">
        <v>1</v>
      </c>
      <c r="AP13">
        <v>1</v>
      </c>
      <c r="AQ13">
        <v>1</v>
      </c>
      <c r="AR13">
        <v>2</v>
      </c>
      <c r="AS13">
        <v>1</v>
      </c>
      <c r="AT13">
        <v>2</v>
      </c>
      <c r="AU13">
        <v>2</v>
      </c>
      <c r="AV13">
        <v>1</v>
      </c>
      <c r="AW13">
        <v>1</v>
      </c>
      <c r="AX13">
        <v>0</v>
      </c>
      <c r="AY13">
        <v>0</v>
      </c>
      <c r="AZ13">
        <v>0</v>
      </c>
      <c r="BA13">
        <v>0</v>
      </c>
      <c r="BB13">
        <v>0</v>
      </c>
      <c r="BC13">
        <v>0</v>
      </c>
      <c r="BD13">
        <v>0</v>
      </c>
      <c r="BE13">
        <v>0</v>
      </c>
      <c r="BF13">
        <v>0</v>
      </c>
      <c r="BG13">
        <v>0</v>
      </c>
      <c r="BH13">
        <v>0</v>
      </c>
      <c r="BI13">
        <f t="shared" si="5"/>
        <v>0</v>
      </c>
      <c r="BJ13" cm="1">
        <f t="array" ref="BJ13">IF(MAX(FREQUENCY(IF(AO13:BH13&gt;0,ROW(AO13:BH13)),IF(AO13:BH13&lt;=0,ROW(AO13:BH13))))&gt;=7, 1, 0)</f>
        <v>1</v>
      </c>
    </row>
    <row r="14" spans="1:62" x14ac:dyDescent="0.25">
      <c r="A14" t="s">
        <v>335</v>
      </c>
      <c r="B14" t="s">
        <v>336</v>
      </c>
      <c r="C14" t="s">
        <v>444</v>
      </c>
      <c r="D14" t="s">
        <v>337</v>
      </c>
      <c r="E14" s="9">
        <v>44141</v>
      </c>
      <c r="F14" s="9">
        <v>45417</v>
      </c>
      <c r="G14" s="2">
        <v>259040000</v>
      </c>
      <c r="H14">
        <v>80</v>
      </c>
      <c r="I14" t="s">
        <v>445</v>
      </c>
      <c r="J14" t="s">
        <v>445</v>
      </c>
      <c r="K14" s="9">
        <v>44901</v>
      </c>
      <c r="L14" s="2">
        <v>259040000</v>
      </c>
      <c r="M14">
        <v>80</v>
      </c>
      <c r="N14" s="2">
        <v>184566000</v>
      </c>
      <c r="O14" s="2">
        <v>184566000</v>
      </c>
      <c r="P14" t="s">
        <v>446</v>
      </c>
      <c r="Q14">
        <f t="shared" si="2"/>
        <v>2020</v>
      </c>
      <c r="R14">
        <f t="shared" si="3"/>
        <v>2024</v>
      </c>
      <c r="S14">
        <f t="shared" si="4"/>
        <v>0</v>
      </c>
      <c r="T14">
        <f t="shared" si="1"/>
        <v>0</v>
      </c>
      <c r="U14">
        <f t="shared" si="1"/>
        <v>0</v>
      </c>
      <c r="V14">
        <f t="shared" si="1"/>
        <v>0</v>
      </c>
      <c r="W14">
        <f t="shared" si="1"/>
        <v>0</v>
      </c>
      <c r="X14">
        <f t="shared" si="1"/>
        <v>0</v>
      </c>
      <c r="Y14">
        <f t="shared" si="1"/>
        <v>0</v>
      </c>
      <c r="Z14">
        <f t="shared" si="1"/>
        <v>0</v>
      </c>
      <c r="AA14">
        <f t="shared" si="1"/>
        <v>0</v>
      </c>
      <c r="AB14">
        <f t="shared" si="1"/>
        <v>0</v>
      </c>
      <c r="AC14">
        <f t="shared" si="1"/>
        <v>0</v>
      </c>
      <c r="AD14">
        <f t="shared" si="1"/>
        <v>0</v>
      </c>
      <c r="AE14">
        <f t="shared" si="1"/>
        <v>0</v>
      </c>
      <c r="AF14">
        <f t="shared" si="1"/>
        <v>0</v>
      </c>
      <c r="AG14">
        <f t="shared" si="1"/>
        <v>0</v>
      </c>
      <c r="AH14">
        <f t="shared" si="1"/>
        <v>1</v>
      </c>
      <c r="AI14">
        <f t="shared" si="1"/>
        <v>1</v>
      </c>
      <c r="AJ14">
        <f t="shared" si="1"/>
        <v>1</v>
      </c>
      <c r="AK14">
        <f t="shared" si="1"/>
        <v>1</v>
      </c>
      <c r="AL14">
        <f t="shared" si="1"/>
        <v>1</v>
      </c>
      <c r="AN14" s="7" t="s">
        <v>78</v>
      </c>
      <c r="AO14">
        <v>0</v>
      </c>
      <c r="AP14">
        <v>0</v>
      </c>
      <c r="AQ14">
        <v>0</v>
      </c>
      <c r="AR14">
        <v>0</v>
      </c>
      <c r="AS14">
        <v>0</v>
      </c>
      <c r="AT14">
        <v>0</v>
      </c>
      <c r="AU14">
        <v>0</v>
      </c>
      <c r="AV14">
        <v>1</v>
      </c>
      <c r="AW14">
        <v>1</v>
      </c>
      <c r="AX14">
        <v>1</v>
      </c>
      <c r="AY14">
        <v>1</v>
      </c>
      <c r="AZ14">
        <v>0</v>
      </c>
      <c r="BA14">
        <v>0</v>
      </c>
      <c r="BB14">
        <v>0</v>
      </c>
      <c r="BC14">
        <v>0</v>
      </c>
      <c r="BD14">
        <v>0</v>
      </c>
      <c r="BE14">
        <v>0</v>
      </c>
      <c r="BF14">
        <v>0</v>
      </c>
      <c r="BG14">
        <v>1</v>
      </c>
      <c r="BH14">
        <v>1</v>
      </c>
      <c r="BI14">
        <f t="shared" si="5"/>
        <v>0</v>
      </c>
      <c r="BJ14" cm="1">
        <f t="array" ref="BJ14">IF(MAX(FREQUENCY(IF(AO14:BH14&gt;0,ROW(AO14:BH14)),IF(AO14:BH14&lt;=0,ROW(AO14:BH14))))&gt;=7, 1, 0)</f>
        <v>0</v>
      </c>
    </row>
    <row r="15" spans="1:62" x14ac:dyDescent="0.25">
      <c r="A15" t="s">
        <v>447</v>
      </c>
      <c r="B15" t="s">
        <v>449</v>
      </c>
      <c r="C15" t="s">
        <v>444</v>
      </c>
      <c r="D15" t="s">
        <v>337</v>
      </c>
      <c r="E15" s="9">
        <v>38749</v>
      </c>
      <c r="F15" s="9">
        <v>39844</v>
      </c>
      <c r="G15" s="2">
        <v>8522500</v>
      </c>
      <c r="H15">
        <v>17.5</v>
      </c>
      <c r="I15" t="s">
        <v>445</v>
      </c>
      <c r="J15" t="s">
        <v>445</v>
      </c>
      <c r="K15" s="9">
        <v>39843</v>
      </c>
      <c r="L15" s="2">
        <v>8522500</v>
      </c>
      <c r="M15">
        <v>6.1</v>
      </c>
      <c r="N15" s="2">
        <v>8522500</v>
      </c>
      <c r="O15">
        <v>0</v>
      </c>
      <c r="P15" t="s">
        <v>446</v>
      </c>
      <c r="Q15">
        <f t="shared" si="2"/>
        <v>2006</v>
      </c>
      <c r="R15">
        <f t="shared" si="3"/>
        <v>2009</v>
      </c>
      <c r="S15">
        <f t="shared" si="4"/>
        <v>0</v>
      </c>
      <c r="T15">
        <f t="shared" si="1"/>
        <v>1</v>
      </c>
      <c r="U15">
        <f t="shared" si="1"/>
        <v>1</v>
      </c>
      <c r="V15">
        <f t="shared" si="1"/>
        <v>1</v>
      </c>
      <c r="W15">
        <f t="shared" si="1"/>
        <v>1</v>
      </c>
      <c r="X15">
        <f t="shared" si="1"/>
        <v>0</v>
      </c>
      <c r="Y15">
        <f t="shared" si="1"/>
        <v>0</v>
      </c>
      <c r="Z15">
        <f t="shared" si="1"/>
        <v>0</v>
      </c>
      <c r="AA15">
        <f t="shared" si="1"/>
        <v>0</v>
      </c>
      <c r="AB15">
        <f t="shared" si="1"/>
        <v>0</v>
      </c>
      <c r="AC15">
        <f t="shared" si="1"/>
        <v>0</v>
      </c>
      <c r="AD15">
        <f t="shared" si="1"/>
        <v>0</v>
      </c>
      <c r="AE15">
        <f t="shared" si="1"/>
        <v>0</v>
      </c>
      <c r="AF15">
        <f t="shared" si="1"/>
        <v>0</v>
      </c>
      <c r="AG15">
        <f t="shared" si="1"/>
        <v>0</v>
      </c>
      <c r="AH15">
        <f t="shared" si="1"/>
        <v>0</v>
      </c>
      <c r="AI15">
        <f t="shared" si="1"/>
        <v>0</v>
      </c>
      <c r="AJ15">
        <f t="shared" si="1"/>
        <v>0</v>
      </c>
      <c r="AK15">
        <f t="shared" si="1"/>
        <v>0</v>
      </c>
      <c r="AL15">
        <f t="shared" si="1"/>
        <v>0</v>
      </c>
      <c r="AN15" s="7" t="s">
        <v>88</v>
      </c>
      <c r="AO15">
        <v>1</v>
      </c>
      <c r="AP15">
        <v>1</v>
      </c>
      <c r="AQ15">
        <v>1</v>
      </c>
      <c r="AR15">
        <v>1</v>
      </c>
      <c r="AS15">
        <v>0</v>
      </c>
      <c r="AT15">
        <v>0</v>
      </c>
      <c r="AU15">
        <v>0</v>
      </c>
      <c r="AV15">
        <v>0</v>
      </c>
      <c r="AW15">
        <v>0</v>
      </c>
      <c r="AX15">
        <v>0</v>
      </c>
      <c r="AY15">
        <v>0</v>
      </c>
      <c r="AZ15">
        <v>0</v>
      </c>
      <c r="BA15">
        <v>1</v>
      </c>
      <c r="BB15">
        <v>1</v>
      </c>
      <c r="BC15">
        <v>1</v>
      </c>
      <c r="BD15">
        <v>1</v>
      </c>
      <c r="BE15">
        <v>0</v>
      </c>
      <c r="BF15">
        <v>1</v>
      </c>
      <c r="BG15">
        <v>1</v>
      </c>
      <c r="BH15">
        <v>1</v>
      </c>
      <c r="BI15">
        <f t="shared" si="5"/>
        <v>0</v>
      </c>
      <c r="BJ15" cm="1">
        <f t="array" ref="BJ15">IF(MAX(FREQUENCY(IF(AO15:BH15&gt;0,ROW(AO15:BH15)),IF(AO15:BH15&lt;=0,ROW(AO15:BH15))))&gt;=7, 1, 0)</f>
        <v>1</v>
      </c>
    </row>
    <row r="16" spans="1:62" x14ac:dyDescent="0.25">
      <c r="A16" t="s">
        <v>448</v>
      </c>
      <c r="B16" t="s">
        <v>450</v>
      </c>
      <c r="C16" t="s">
        <v>444</v>
      </c>
      <c r="D16" t="s">
        <v>337</v>
      </c>
      <c r="E16" s="9">
        <v>38497</v>
      </c>
      <c r="F16" s="9">
        <v>39592</v>
      </c>
      <c r="G16" s="2">
        <v>23000000</v>
      </c>
      <c r="H16">
        <v>25</v>
      </c>
      <c r="I16" t="s">
        <v>445</v>
      </c>
      <c r="J16" t="s">
        <v>445</v>
      </c>
      <c r="K16" s="9">
        <v>39591</v>
      </c>
      <c r="L16" s="2">
        <v>23000000</v>
      </c>
      <c r="M16">
        <v>17.899999999999999</v>
      </c>
      <c r="N16" s="2">
        <v>23000000</v>
      </c>
      <c r="O16">
        <v>0</v>
      </c>
      <c r="P16" t="s">
        <v>446</v>
      </c>
      <c r="Q16">
        <f t="shared" si="2"/>
        <v>2005</v>
      </c>
      <c r="R16">
        <f t="shared" si="3"/>
        <v>2008</v>
      </c>
      <c r="S16">
        <f t="shared" si="4"/>
        <v>1</v>
      </c>
      <c r="T16">
        <f t="shared" si="1"/>
        <v>1</v>
      </c>
      <c r="U16">
        <f t="shared" si="1"/>
        <v>1</v>
      </c>
      <c r="V16">
        <f t="shared" si="1"/>
        <v>1</v>
      </c>
      <c r="W16">
        <f t="shared" si="1"/>
        <v>0</v>
      </c>
      <c r="X16">
        <f t="shared" si="1"/>
        <v>0</v>
      </c>
      <c r="Y16">
        <f t="shared" si="1"/>
        <v>0</v>
      </c>
      <c r="Z16">
        <f t="shared" si="1"/>
        <v>0</v>
      </c>
      <c r="AA16">
        <f t="shared" si="1"/>
        <v>0</v>
      </c>
      <c r="AB16">
        <f t="shared" si="1"/>
        <v>0</v>
      </c>
      <c r="AC16">
        <f t="shared" si="1"/>
        <v>0</v>
      </c>
      <c r="AD16">
        <f t="shared" si="1"/>
        <v>0</v>
      </c>
      <c r="AE16">
        <f t="shared" si="1"/>
        <v>0</v>
      </c>
      <c r="AF16">
        <f t="shared" si="1"/>
        <v>0</v>
      </c>
      <c r="AG16">
        <f t="shared" si="1"/>
        <v>0</v>
      </c>
      <c r="AH16">
        <f t="shared" si="1"/>
        <v>0</v>
      </c>
      <c r="AI16">
        <f t="shared" si="1"/>
        <v>0</v>
      </c>
      <c r="AJ16">
        <f t="shared" si="1"/>
        <v>0</v>
      </c>
      <c r="AK16">
        <f t="shared" si="1"/>
        <v>0</v>
      </c>
      <c r="AL16">
        <f t="shared" si="1"/>
        <v>0</v>
      </c>
      <c r="AN16" s="7" t="s">
        <v>101</v>
      </c>
      <c r="AO16">
        <v>0</v>
      </c>
      <c r="AP16">
        <v>0</v>
      </c>
      <c r="AQ16">
        <v>1</v>
      </c>
      <c r="AR16">
        <v>1</v>
      </c>
      <c r="AS16">
        <v>1</v>
      </c>
      <c r="AT16">
        <v>2</v>
      </c>
      <c r="AU16">
        <v>1</v>
      </c>
      <c r="AV16">
        <v>1</v>
      </c>
      <c r="AW16">
        <v>2</v>
      </c>
      <c r="AX16">
        <v>1</v>
      </c>
      <c r="AY16">
        <v>1</v>
      </c>
      <c r="AZ16">
        <v>1</v>
      </c>
      <c r="BA16">
        <v>0</v>
      </c>
      <c r="BB16">
        <v>1</v>
      </c>
      <c r="BC16">
        <v>1</v>
      </c>
      <c r="BD16">
        <v>1</v>
      </c>
      <c r="BE16">
        <v>1</v>
      </c>
      <c r="BF16">
        <v>0</v>
      </c>
      <c r="BG16">
        <v>1</v>
      </c>
      <c r="BH16">
        <v>1</v>
      </c>
      <c r="BI16">
        <f t="shared" si="5"/>
        <v>1</v>
      </c>
      <c r="BJ16" cm="1">
        <f t="array" ref="BJ16">IF(MAX(FREQUENCY(IF(AO16:BH16&gt;0,ROW(AO16:BH16)),IF(AO16:BH16&lt;=0,ROW(AO16:BH16))))&gt;=7, 1, 0)</f>
        <v>1</v>
      </c>
    </row>
    <row r="17" spans="1:62" x14ac:dyDescent="0.25">
      <c r="A17" t="s">
        <v>448</v>
      </c>
      <c r="B17" t="s">
        <v>450</v>
      </c>
      <c r="C17" t="s">
        <v>444</v>
      </c>
      <c r="D17" t="s">
        <v>337</v>
      </c>
      <c r="E17" s="9">
        <v>39769</v>
      </c>
      <c r="F17" s="9">
        <v>40863</v>
      </c>
      <c r="G17" s="2">
        <v>9200000</v>
      </c>
      <c r="H17">
        <v>10</v>
      </c>
      <c r="I17" t="s">
        <v>445</v>
      </c>
      <c r="J17" t="s">
        <v>445</v>
      </c>
      <c r="K17" s="9">
        <v>39878</v>
      </c>
      <c r="L17" s="2">
        <v>9200000</v>
      </c>
      <c r="M17">
        <v>7.1</v>
      </c>
      <c r="N17" s="2">
        <v>1310000</v>
      </c>
      <c r="O17">
        <v>0</v>
      </c>
      <c r="P17" t="s">
        <v>446</v>
      </c>
      <c r="Q17">
        <f t="shared" si="2"/>
        <v>2008</v>
      </c>
      <c r="R17">
        <f t="shared" si="3"/>
        <v>2011</v>
      </c>
      <c r="S17">
        <f t="shared" si="4"/>
        <v>0</v>
      </c>
      <c r="T17">
        <f t="shared" si="1"/>
        <v>0</v>
      </c>
      <c r="U17">
        <f t="shared" si="1"/>
        <v>0</v>
      </c>
      <c r="V17">
        <f t="shared" si="1"/>
        <v>1</v>
      </c>
      <c r="W17">
        <f t="shared" si="1"/>
        <v>1</v>
      </c>
      <c r="X17">
        <f t="shared" si="1"/>
        <v>1</v>
      </c>
      <c r="Y17">
        <f t="shared" si="1"/>
        <v>1</v>
      </c>
      <c r="Z17">
        <f t="shared" si="1"/>
        <v>0</v>
      </c>
      <c r="AA17">
        <f t="shared" si="1"/>
        <v>0</v>
      </c>
      <c r="AB17">
        <f t="shared" si="1"/>
        <v>0</v>
      </c>
      <c r="AC17">
        <f t="shared" si="1"/>
        <v>0</v>
      </c>
      <c r="AD17">
        <f t="shared" si="1"/>
        <v>0</v>
      </c>
      <c r="AE17">
        <f t="shared" si="1"/>
        <v>0</v>
      </c>
      <c r="AF17">
        <f t="shared" si="1"/>
        <v>0</v>
      </c>
      <c r="AG17">
        <f t="shared" si="1"/>
        <v>0</v>
      </c>
      <c r="AH17">
        <f t="shared" si="1"/>
        <v>0</v>
      </c>
      <c r="AI17">
        <f t="shared" si="1"/>
        <v>0</v>
      </c>
      <c r="AJ17">
        <f t="shared" si="1"/>
        <v>0</v>
      </c>
      <c r="AK17">
        <f t="shared" si="1"/>
        <v>0</v>
      </c>
      <c r="AL17">
        <f t="shared" si="1"/>
        <v>0</v>
      </c>
      <c r="AN17" s="7" t="s">
        <v>106</v>
      </c>
      <c r="AO17">
        <v>0</v>
      </c>
      <c r="AP17">
        <v>0</v>
      </c>
      <c r="AQ17">
        <v>0</v>
      </c>
      <c r="AR17">
        <v>1</v>
      </c>
      <c r="AS17">
        <v>1</v>
      </c>
      <c r="AT17">
        <v>1</v>
      </c>
      <c r="AU17">
        <v>1</v>
      </c>
      <c r="AV17">
        <v>1</v>
      </c>
      <c r="AW17">
        <v>1</v>
      </c>
      <c r="AX17">
        <v>1</v>
      </c>
      <c r="AY17">
        <v>1</v>
      </c>
      <c r="AZ17">
        <v>0</v>
      </c>
      <c r="BA17">
        <v>0</v>
      </c>
      <c r="BB17">
        <v>0</v>
      </c>
      <c r="BC17">
        <v>0</v>
      </c>
      <c r="BD17">
        <v>0</v>
      </c>
      <c r="BE17">
        <v>0</v>
      </c>
      <c r="BF17">
        <v>0</v>
      </c>
      <c r="BG17">
        <v>1</v>
      </c>
      <c r="BH17">
        <v>1</v>
      </c>
      <c r="BI17">
        <f t="shared" si="5"/>
        <v>0</v>
      </c>
      <c r="BJ17" cm="1">
        <f t="array" ref="BJ17">IF(MAX(FREQUENCY(IF(AO17:BH17&gt;0,ROW(AO17:BH17)),IF(AO17:BH17&lt;=0,ROW(AO17:BH17))))&gt;=7, 1, 0)</f>
        <v>1</v>
      </c>
    </row>
    <row r="18" spans="1:62" x14ac:dyDescent="0.25">
      <c r="A18" t="s">
        <v>448</v>
      </c>
      <c r="B18" t="s">
        <v>450</v>
      </c>
      <c r="C18" t="s">
        <v>444</v>
      </c>
      <c r="D18" t="s">
        <v>337</v>
      </c>
      <c r="E18" s="9">
        <v>40357</v>
      </c>
      <c r="F18" s="9">
        <v>41452</v>
      </c>
      <c r="G18" s="2">
        <v>133400000</v>
      </c>
      <c r="H18">
        <v>145</v>
      </c>
      <c r="I18" t="s">
        <v>445</v>
      </c>
      <c r="J18" t="s">
        <v>445</v>
      </c>
      <c r="K18" s="9">
        <v>41457</v>
      </c>
      <c r="L18" s="2">
        <v>133400000</v>
      </c>
      <c r="M18">
        <v>103.6</v>
      </c>
      <c r="N18" s="2">
        <v>133400000</v>
      </c>
      <c r="O18">
        <v>0</v>
      </c>
      <c r="P18" t="s">
        <v>446</v>
      </c>
      <c r="Q18">
        <f t="shared" si="2"/>
        <v>2010</v>
      </c>
      <c r="R18">
        <f t="shared" si="3"/>
        <v>2013</v>
      </c>
      <c r="S18">
        <f t="shared" si="4"/>
        <v>0</v>
      </c>
      <c r="T18">
        <f t="shared" si="1"/>
        <v>0</v>
      </c>
      <c r="U18">
        <f t="shared" si="1"/>
        <v>0</v>
      </c>
      <c r="V18">
        <f t="shared" si="1"/>
        <v>0</v>
      </c>
      <c r="W18">
        <f t="shared" si="1"/>
        <v>0</v>
      </c>
      <c r="X18">
        <f t="shared" si="1"/>
        <v>1</v>
      </c>
      <c r="Y18">
        <f t="shared" si="1"/>
        <v>1</v>
      </c>
      <c r="Z18">
        <f t="shared" si="1"/>
        <v>1</v>
      </c>
      <c r="AA18">
        <f t="shared" si="1"/>
        <v>1</v>
      </c>
      <c r="AB18">
        <f t="shared" si="1"/>
        <v>0</v>
      </c>
      <c r="AC18">
        <f t="shared" si="1"/>
        <v>0</v>
      </c>
      <c r="AD18">
        <f t="shared" si="1"/>
        <v>0</v>
      </c>
      <c r="AE18">
        <f t="shared" si="1"/>
        <v>0</v>
      </c>
      <c r="AF18">
        <f t="shared" si="1"/>
        <v>0</v>
      </c>
      <c r="AG18">
        <f t="shared" si="1"/>
        <v>0</v>
      </c>
      <c r="AH18">
        <f t="shared" si="1"/>
        <v>0</v>
      </c>
      <c r="AI18">
        <f t="shared" si="1"/>
        <v>0</v>
      </c>
      <c r="AJ18">
        <f t="shared" si="1"/>
        <v>0</v>
      </c>
      <c r="AK18">
        <f t="shared" si="1"/>
        <v>0</v>
      </c>
      <c r="AL18">
        <f t="shared" si="1"/>
        <v>0</v>
      </c>
      <c r="AN18" s="7" t="s">
        <v>109</v>
      </c>
      <c r="AO18">
        <v>0</v>
      </c>
      <c r="AP18">
        <v>0</v>
      </c>
      <c r="AQ18">
        <v>0</v>
      </c>
      <c r="AR18">
        <v>0</v>
      </c>
      <c r="AS18">
        <v>0</v>
      </c>
      <c r="AT18">
        <v>0</v>
      </c>
      <c r="AU18">
        <v>0</v>
      </c>
      <c r="AV18">
        <v>0</v>
      </c>
      <c r="AW18">
        <v>0</v>
      </c>
      <c r="AX18">
        <v>0</v>
      </c>
      <c r="AY18">
        <v>0</v>
      </c>
      <c r="AZ18">
        <v>0</v>
      </c>
      <c r="BA18">
        <v>0</v>
      </c>
      <c r="BB18">
        <v>0</v>
      </c>
      <c r="BC18">
        <v>0</v>
      </c>
      <c r="BD18">
        <v>0</v>
      </c>
      <c r="BE18">
        <v>0</v>
      </c>
      <c r="BF18">
        <v>1</v>
      </c>
      <c r="BG18">
        <v>1</v>
      </c>
      <c r="BH18">
        <v>1</v>
      </c>
      <c r="BI18">
        <f t="shared" si="5"/>
        <v>0</v>
      </c>
      <c r="BJ18" cm="1">
        <f t="array" ref="BJ18">IF(MAX(FREQUENCY(IF(AO18:BH18&gt;0,ROW(AO18:BH18)),IF(AO18:BH18&lt;=0,ROW(AO18:BH18))))&gt;=7, 1, 0)</f>
        <v>0</v>
      </c>
    </row>
    <row r="19" spans="1:62" x14ac:dyDescent="0.25">
      <c r="A19" t="s">
        <v>78</v>
      </c>
      <c r="B19" t="s">
        <v>338</v>
      </c>
      <c r="C19" t="s">
        <v>444</v>
      </c>
      <c r="D19" t="s">
        <v>337</v>
      </c>
      <c r="E19" s="9">
        <v>41010</v>
      </c>
      <c r="F19" s="9">
        <v>42104</v>
      </c>
      <c r="G19" s="2">
        <v>639960000</v>
      </c>
      <c r="H19">
        <v>120</v>
      </c>
      <c r="I19" t="s">
        <v>445</v>
      </c>
      <c r="J19" t="s">
        <v>445</v>
      </c>
      <c r="K19" s="9">
        <v>42306</v>
      </c>
      <c r="L19" s="2">
        <v>639960000</v>
      </c>
      <c r="M19">
        <v>60</v>
      </c>
      <c r="N19" s="2">
        <v>639960000</v>
      </c>
      <c r="O19" s="2">
        <v>36569000</v>
      </c>
      <c r="P19" t="s">
        <v>446</v>
      </c>
      <c r="Q19">
        <f t="shared" si="2"/>
        <v>2012</v>
      </c>
      <c r="R19">
        <f t="shared" si="3"/>
        <v>2015</v>
      </c>
      <c r="S19">
        <f t="shared" si="4"/>
        <v>0</v>
      </c>
      <c r="T19">
        <f t="shared" si="1"/>
        <v>0</v>
      </c>
      <c r="U19">
        <f t="shared" si="1"/>
        <v>0</v>
      </c>
      <c r="V19">
        <f t="shared" si="1"/>
        <v>0</v>
      </c>
      <c r="W19">
        <f t="shared" si="1"/>
        <v>0</v>
      </c>
      <c r="X19">
        <f t="shared" si="1"/>
        <v>0</v>
      </c>
      <c r="Y19">
        <f t="shared" si="1"/>
        <v>0</v>
      </c>
      <c r="Z19">
        <f t="shared" si="1"/>
        <v>1</v>
      </c>
      <c r="AA19">
        <f t="shared" si="1"/>
        <v>1</v>
      </c>
      <c r="AB19">
        <f t="shared" si="1"/>
        <v>1</v>
      </c>
      <c r="AC19">
        <f t="shared" si="1"/>
        <v>1</v>
      </c>
      <c r="AD19">
        <f t="shared" si="1"/>
        <v>0</v>
      </c>
      <c r="AE19">
        <f t="shared" si="1"/>
        <v>0</v>
      </c>
      <c r="AF19">
        <f t="shared" si="1"/>
        <v>0</v>
      </c>
      <c r="AG19">
        <f t="shared" si="1"/>
        <v>0</v>
      </c>
      <c r="AH19">
        <f t="shared" si="1"/>
        <v>0</v>
      </c>
      <c r="AI19">
        <f t="shared" si="1"/>
        <v>0</v>
      </c>
      <c r="AJ19">
        <f t="shared" si="1"/>
        <v>0</v>
      </c>
      <c r="AK19">
        <f t="shared" si="1"/>
        <v>0</v>
      </c>
      <c r="AL19">
        <f t="shared" si="1"/>
        <v>0</v>
      </c>
      <c r="AN19" s="7" t="s">
        <v>117</v>
      </c>
      <c r="AO19">
        <v>1</v>
      </c>
      <c r="AP19">
        <v>1</v>
      </c>
      <c r="AQ19">
        <v>1</v>
      </c>
      <c r="AR19">
        <v>1</v>
      </c>
      <c r="AS19">
        <v>0</v>
      </c>
      <c r="AT19">
        <v>0</v>
      </c>
      <c r="AU19">
        <v>0</v>
      </c>
      <c r="AV19">
        <v>0</v>
      </c>
      <c r="AW19">
        <v>0</v>
      </c>
      <c r="AX19">
        <v>0</v>
      </c>
      <c r="AY19">
        <v>0</v>
      </c>
      <c r="AZ19">
        <v>0</v>
      </c>
      <c r="BA19">
        <v>1</v>
      </c>
      <c r="BB19">
        <v>1</v>
      </c>
      <c r="BC19">
        <v>1</v>
      </c>
      <c r="BD19">
        <v>1</v>
      </c>
      <c r="BE19">
        <v>1</v>
      </c>
      <c r="BF19">
        <v>1</v>
      </c>
      <c r="BG19">
        <v>1</v>
      </c>
      <c r="BH19">
        <v>1</v>
      </c>
      <c r="BI19">
        <f t="shared" si="5"/>
        <v>0</v>
      </c>
      <c r="BJ19" cm="1">
        <f t="array" ref="BJ19">IF(MAX(FREQUENCY(IF(AO19:BH19&gt;0,ROW(AO19:BH19)),IF(AO19:BH19&lt;=0,ROW(AO19:BH19))))&gt;=7, 1, 0)</f>
        <v>1</v>
      </c>
    </row>
    <row r="20" spans="1:62" x14ac:dyDescent="0.25">
      <c r="A20" t="s">
        <v>78</v>
      </c>
      <c r="B20" t="s">
        <v>338</v>
      </c>
      <c r="C20" t="s">
        <v>444</v>
      </c>
      <c r="D20" t="s">
        <v>337</v>
      </c>
      <c r="E20" s="9">
        <v>44956</v>
      </c>
      <c r="F20" s="9">
        <v>46232</v>
      </c>
      <c r="G20" s="2">
        <v>822820000</v>
      </c>
      <c r="H20">
        <v>77.099999999999994</v>
      </c>
      <c r="I20" t="s">
        <v>445</v>
      </c>
      <c r="J20" t="s">
        <v>445</v>
      </c>
      <c r="K20" s="9">
        <v>46232</v>
      </c>
      <c r="L20" s="2">
        <v>822820000</v>
      </c>
      <c r="M20">
        <v>77.099999999999994</v>
      </c>
      <c r="N20" s="2">
        <v>469800000</v>
      </c>
      <c r="O20" s="2">
        <v>469800000</v>
      </c>
      <c r="P20" t="s">
        <v>451</v>
      </c>
      <c r="Q20">
        <f t="shared" si="2"/>
        <v>2023</v>
      </c>
      <c r="R20">
        <f t="shared" si="3"/>
        <v>2024</v>
      </c>
      <c r="S20">
        <f t="shared" si="4"/>
        <v>0</v>
      </c>
      <c r="T20">
        <f t="shared" si="1"/>
        <v>0</v>
      </c>
      <c r="U20">
        <f t="shared" si="1"/>
        <v>0</v>
      </c>
      <c r="V20">
        <f t="shared" si="1"/>
        <v>0</v>
      </c>
      <c r="W20">
        <f t="shared" si="1"/>
        <v>0</v>
      </c>
      <c r="X20">
        <f t="shared" si="1"/>
        <v>0</v>
      </c>
      <c r="Y20">
        <f t="shared" si="1"/>
        <v>0</v>
      </c>
      <c r="Z20">
        <f t="shared" si="1"/>
        <v>0</v>
      </c>
      <c r="AA20">
        <f t="shared" si="1"/>
        <v>0</v>
      </c>
      <c r="AB20">
        <f t="shared" si="1"/>
        <v>0</v>
      </c>
      <c r="AC20">
        <f t="shared" si="1"/>
        <v>0</v>
      </c>
      <c r="AD20">
        <f t="shared" si="1"/>
        <v>0</v>
      </c>
      <c r="AE20">
        <f t="shared" si="1"/>
        <v>0</v>
      </c>
      <c r="AF20">
        <f t="shared" si="1"/>
        <v>0</v>
      </c>
      <c r="AG20">
        <f t="shared" si="1"/>
        <v>0</v>
      </c>
      <c r="AH20">
        <f t="shared" si="1"/>
        <v>0</v>
      </c>
      <c r="AI20">
        <f t="shared" si="1"/>
        <v>0</v>
      </c>
      <c r="AJ20">
        <f t="shared" si="1"/>
        <v>0</v>
      </c>
      <c r="AK20">
        <f t="shared" si="1"/>
        <v>1</v>
      </c>
      <c r="AL20">
        <f t="shared" si="1"/>
        <v>1</v>
      </c>
      <c r="AN20" s="7" t="s">
        <v>120</v>
      </c>
      <c r="AO20">
        <v>0</v>
      </c>
      <c r="AP20">
        <v>1</v>
      </c>
      <c r="AQ20">
        <v>1</v>
      </c>
      <c r="AR20">
        <v>1</v>
      </c>
      <c r="AS20">
        <v>1</v>
      </c>
      <c r="AT20">
        <v>0</v>
      </c>
      <c r="AU20">
        <v>0</v>
      </c>
      <c r="AV20">
        <v>1</v>
      </c>
      <c r="AW20">
        <v>1</v>
      </c>
      <c r="AX20">
        <v>1</v>
      </c>
      <c r="AY20">
        <v>1</v>
      </c>
      <c r="AZ20">
        <v>1</v>
      </c>
      <c r="BA20">
        <v>1</v>
      </c>
      <c r="BB20">
        <v>1</v>
      </c>
      <c r="BC20">
        <v>2</v>
      </c>
      <c r="BD20">
        <v>1</v>
      </c>
      <c r="BE20">
        <v>1</v>
      </c>
      <c r="BF20">
        <v>1</v>
      </c>
      <c r="BG20">
        <v>1</v>
      </c>
      <c r="BH20">
        <v>1</v>
      </c>
      <c r="BI20">
        <f t="shared" si="5"/>
        <v>1</v>
      </c>
      <c r="BJ20" cm="1">
        <f t="array" ref="BJ20">IF(MAX(FREQUENCY(IF(AO20:BH20&gt;0,ROW(AO20:BH20)),IF(AO20:BH20&lt;=0,ROW(AO20:BH20))))&gt;=7, 1, 0)</f>
        <v>1</v>
      </c>
    </row>
    <row r="21" spans="1:62" x14ac:dyDescent="0.25">
      <c r="A21" t="s">
        <v>88</v>
      </c>
      <c r="B21" t="s">
        <v>341</v>
      </c>
      <c r="C21" t="s">
        <v>444</v>
      </c>
      <c r="D21" t="s">
        <v>337</v>
      </c>
      <c r="E21" s="9">
        <v>38569</v>
      </c>
      <c r="F21" s="9">
        <v>39664</v>
      </c>
      <c r="G21" s="2">
        <v>6190000</v>
      </c>
      <c r="H21">
        <v>10</v>
      </c>
      <c r="I21" t="s">
        <v>445</v>
      </c>
      <c r="J21" t="s">
        <v>445</v>
      </c>
      <c r="K21" s="9">
        <v>39994</v>
      </c>
      <c r="L21" s="2">
        <v>24770000</v>
      </c>
      <c r="M21">
        <v>20</v>
      </c>
      <c r="N21" s="2">
        <v>24770000</v>
      </c>
      <c r="O21">
        <v>0</v>
      </c>
      <c r="P21" t="s">
        <v>446</v>
      </c>
      <c r="Q21">
        <f t="shared" si="2"/>
        <v>2005</v>
      </c>
      <c r="R21">
        <f t="shared" si="3"/>
        <v>2008</v>
      </c>
      <c r="S21">
        <f t="shared" si="4"/>
        <v>1</v>
      </c>
      <c r="T21">
        <f t="shared" si="1"/>
        <v>1</v>
      </c>
      <c r="U21">
        <f t="shared" si="1"/>
        <v>1</v>
      </c>
      <c r="V21">
        <f t="shared" si="1"/>
        <v>1</v>
      </c>
      <c r="W21">
        <f t="shared" si="1"/>
        <v>0</v>
      </c>
      <c r="X21">
        <f t="shared" si="1"/>
        <v>0</v>
      </c>
      <c r="Y21">
        <f t="shared" si="1"/>
        <v>0</v>
      </c>
      <c r="Z21">
        <f t="shared" si="1"/>
        <v>0</v>
      </c>
      <c r="AA21">
        <f t="shared" si="1"/>
        <v>0</v>
      </c>
      <c r="AB21">
        <f t="shared" si="1"/>
        <v>0</v>
      </c>
      <c r="AC21">
        <f t="shared" si="1"/>
        <v>0</v>
      </c>
      <c r="AD21">
        <f t="shared" si="1"/>
        <v>0</v>
      </c>
      <c r="AE21">
        <f t="shared" si="1"/>
        <v>0</v>
      </c>
      <c r="AF21">
        <f t="shared" si="1"/>
        <v>0</v>
      </c>
      <c r="AG21">
        <f t="shared" si="1"/>
        <v>0</v>
      </c>
      <c r="AH21">
        <f t="shared" si="1"/>
        <v>0</v>
      </c>
      <c r="AI21">
        <f t="shared" si="1"/>
        <v>0</v>
      </c>
      <c r="AJ21">
        <f t="shared" si="1"/>
        <v>0</v>
      </c>
      <c r="AK21">
        <f t="shared" si="1"/>
        <v>0</v>
      </c>
      <c r="AL21">
        <f t="shared" si="1"/>
        <v>0</v>
      </c>
      <c r="AN21" s="7" t="s">
        <v>121</v>
      </c>
      <c r="AO21">
        <v>1</v>
      </c>
      <c r="AP21">
        <v>1</v>
      </c>
      <c r="AQ21">
        <v>1</v>
      </c>
      <c r="AR21">
        <v>1</v>
      </c>
      <c r="AS21">
        <v>0</v>
      </c>
      <c r="AT21">
        <v>0</v>
      </c>
      <c r="AU21">
        <v>0</v>
      </c>
      <c r="AV21">
        <v>0</v>
      </c>
      <c r="AW21">
        <v>0</v>
      </c>
      <c r="AX21">
        <v>1</v>
      </c>
      <c r="AY21">
        <v>1</v>
      </c>
      <c r="AZ21">
        <v>1</v>
      </c>
      <c r="BA21">
        <v>2</v>
      </c>
      <c r="BB21">
        <v>1</v>
      </c>
      <c r="BC21">
        <v>1</v>
      </c>
      <c r="BD21">
        <v>1</v>
      </c>
      <c r="BE21">
        <v>1</v>
      </c>
      <c r="BF21">
        <v>1</v>
      </c>
      <c r="BG21">
        <v>1</v>
      </c>
      <c r="BH21">
        <v>1</v>
      </c>
      <c r="BI21">
        <f t="shared" si="5"/>
        <v>1</v>
      </c>
      <c r="BJ21" cm="1">
        <f t="array" ref="BJ21">IF(MAX(FREQUENCY(IF(AO21:BH21&gt;0,ROW(AO21:BH21)),IF(AO21:BH21&lt;=0,ROW(AO21:BH21))))&gt;=7, 1, 0)</f>
        <v>1</v>
      </c>
    </row>
    <row r="22" spans="1:62" x14ac:dyDescent="0.25">
      <c r="A22" t="s">
        <v>88</v>
      </c>
      <c r="B22" t="s">
        <v>341</v>
      </c>
      <c r="C22" t="s">
        <v>444</v>
      </c>
      <c r="D22" t="s">
        <v>337</v>
      </c>
      <c r="E22" s="9">
        <v>42832</v>
      </c>
      <c r="F22" s="9">
        <v>43927</v>
      </c>
      <c r="G22" s="2">
        <v>111420000</v>
      </c>
      <c r="H22">
        <v>90</v>
      </c>
      <c r="I22" t="s">
        <v>445</v>
      </c>
      <c r="J22" t="s">
        <v>445</v>
      </c>
      <c r="K22" s="9">
        <v>43970</v>
      </c>
      <c r="L22" s="2">
        <v>187433000</v>
      </c>
      <c r="M22">
        <v>151.4</v>
      </c>
      <c r="N22" s="2">
        <v>187433000</v>
      </c>
      <c r="O22" s="2">
        <v>165149200</v>
      </c>
      <c r="P22" t="s">
        <v>446</v>
      </c>
      <c r="Q22">
        <f t="shared" si="2"/>
        <v>2017</v>
      </c>
      <c r="R22">
        <f t="shared" si="3"/>
        <v>2020</v>
      </c>
      <c r="S22">
        <f t="shared" si="4"/>
        <v>0</v>
      </c>
      <c r="T22">
        <f t="shared" si="1"/>
        <v>0</v>
      </c>
      <c r="U22">
        <f t="shared" si="1"/>
        <v>0</v>
      </c>
      <c r="V22">
        <f t="shared" si="1"/>
        <v>0</v>
      </c>
      <c r="W22">
        <f t="shared" si="1"/>
        <v>0</v>
      </c>
      <c r="X22">
        <f t="shared" si="1"/>
        <v>0</v>
      </c>
      <c r="Y22">
        <f t="shared" si="1"/>
        <v>0</v>
      </c>
      <c r="Z22">
        <f t="shared" si="1"/>
        <v>0</v>
      </c>
      <c r="AA22">
        <f t="shared" si="1"/>
        <v>0</v>
      </c>
      <c r="AB22">
        <f t="shared" si="1"/>
        <v>0</v>
      </c>
      <c r="AC22">
        <f t="shared" si="1"/>
        <v>0</v>
      </c>
      <c r="AD22">
        <f t="shared" si="1"/>
        <v>0</v>
      </c>
      <c r="AE22">
        <f t="shared" si="1"/>
        <v>1</v>
      </c>
      <c r="AF22">
        <f t="shared" si="1"/>
        <v>1</v>
      </c>
      <c r="AG22">
        <f t="shared" si="1"/>
        <v>1</v>
      </c>
      <c r="AH22">
        <f t="shared" si="1"/>
        <v>1</v>
      </c>
      <c r="AI22">
        <f t="shared" si="1"/>
        <v>0</v>
      </c>
      <c r="AJ22">
        <f t="shared" si="1"/>
        <v>0</v>
      </c>
      <c r="AK22">
        <f t="shared" si="1"/>
        <v>0</v>
      </c>
      <c r="AL22">
        <f t="shared" si="1"/>
        <v>0</v>
      </c>
      <c r="AN22" s="7" t="s">
        <v>125</v>
      </c>
      <c r="AO22">
        <v>0</v>
      </c>
      <c r="AP22">
        <v>0</v>
      </c>
      <c r="AQ22">
        <v>0</v>
      </c>
      <c r="AR22">
        <v>0</v>
      </c>
      <c r="AS22">
        <v>1</v>
      </c>
      <c r="AT22">
        <v>1</v>
      </c>
      <c r="AU22">
        <v>1</v>
      </c>
      <c r="AV22">
        <v>1</v>
      </c>
      <c r="AW22">
        <v>0</v>
      </c>
      <c r="AX22">
        <v>0</v>
      </c>
      <c r="AY22">
        <v>0</v>
      </c>
      <c r="AZ22">
        <v>0</v>
      </c>
      <c r="BA22">
        <v>0</v>
      </c>
      <c r="BB22">
        <v>0</v>
      </c>
      <c r="BC22">
        <v>0</v>
      </c>
      <c r="BD22">
        <v>0</v>
      </c>
      <c r="BE22">
        <v>0</v>
      </c>
      <c r="BF22">
        <v>0</v>
      </c>
      <c r="BG22">
        <v>1</v>
      </c>
      <c r="BH22">
        <v>1</v>
      </c>
      <c r="BI22">
        <f t="shared" si="5"/>
        <v>0</v>
      </c>
      <c r="BJ22" cm="1">
        <f t="array" ref="BJ22">IF(MAX(FREQUENCY(IF(AO22:BH22&gt;0,ROW(AO22:BH22)),IF(AO22:BH22&lt;=0,ROW(AO22:BH22))))&gt;=7, 1, 0)</f>
        <v>0</v>
      </c>
    </row>
    <row r="23" spans="1:62" x14ac:dyDescent="0.25">
      <c r="A23" t="s">
        <v>88</v>
      </c>
      <c r="B23" t="s">
        <v>341</v>
      </c>
      <c r="C23" t="s">
        <v>444</v>
      </c>
      <c r="D23" t="s">
        <v>337</v>
      </c>
      <c r="E23" s="9">
        <v>44750</v>
      </c>
      <c r="F23" s="9">
        <v>46029</v>
      </c>
      <c r="G23" s="2">
        <v>161349000</v>
      </c>
      <c r="H23">
        <v>130.30000000000001</v>
      </c>
      <c r="I23" t="s">
        <v>445</v>
      </c>
      <c r="J23" t="s">
        <v>445</v>
      </c>
      <c r="K23" s="9">
        <v>46029</v>
      </c>
      <c r="L23" s="2">
        <v>161349000</v>
      </c>
      <c r="M23">
        <v>130.30000000000001</v>
      </c>
      <c r="N23" s="2">
        <v>143800000</v>
      </c>
      <c r="O23" s="2">
        <v>143800000</v>
      </c>
      <c r="P23" t="s">
        <v>451</v>
      </c>
      <c r="Q23">
        <f t="shared" si="2"/>
        <v>2022</v>
      </c>
      <c r="R23">
        <f t="shared" si="3"/>
        <v>2024</v>
      </c>
      <c r="S23">
        <f t="shared" si="4"/>
        <v>0</v>
      </c>
      <c r="T23">
        <f t="shared" si="1"/>
        <v>0</v>
      </c>
      <c r="U23">
        <f t="shared" si="1"/>
        <v>0</v>
      </c>
      <c r="V23">
        <f t="shared" si="1"/>
        <v>0</v>
      </c>
      <c r="W23">
        <f t="shared" si="1"/>
        <v>0</v>
      </c>
      <c r="X23">
        <f t="shared" si="1"/>
        <v>0</v>
      </c>
      <c r="Y23">
        <f t="shared" si="1"/>
        <v>0</v>
      </c>
      <c r="Z23">
        <f t="shared" si="1"/>
        <v>0</v>
      </c>
      <c r="AA23">
        <f t="shared" si="1"/>
        <v>0</v>
      </c>
      <c r="AB23">
        <f t="shared" si="1"/>
        <v>0</v>
      </c>
      <c r="AC23">
        <f t="shared" si="1"/>
        <v>0</v>
      </c>
      <c r="AD23">
        <f t="shared" si="1"/>
        <v>0</v>
      </c>
      <c r="AE23">
        <f t="shared" si="1"/>
        <v>0</v>
      </c>
      <c r="AF23">
        <f t="shared" si="1"/>
        <v>0</v>
      </c>
      <c r="AG23">
        <f t="shared" si="1"/>
        <v>0</v>
      </c>
      <c r="AH23">
        <f t="shared" si="1"/>
        <v>0</v>
      </c>
      <c r="AI23">
        <f t="shared" si="1"/>
        <v>0</v>
      </c>
      <c r="AJ23">
        <f t="shared" si="1"/>
        <v>1</v>
      </c>
      <c r="AK23">
        <f t="shared" si="1"/>
        <v>1</v>
      </c>
      <c r="AL23">
        <f t="shared" si="1"/>
        <v>1</v>
      </c>
      <c r="AN23" s="7" t="s">
        <v>131</v>
      </c>
      <c r="AO23">
        <v>0</v>
      </c>
      <c r="AP23">
        <v>0</v>
      </c>
      <c r="AQ23">
        <v>0</v>
      </c>
      <c r="AR23">
        <v>0</v>
      </c>
      <c r="AS23">
        <v>1</v>
      </c>
      <c r="AT23">
        <v>1</v>
      </c>
      <c r="AU23">
        <v>1</v>
      </c>
      <c r="AV23">
        <v>1</v>
      </c>
      <c r="AW23">
        <v>0</v>
      </c>
      <c r="AX23">
        <v>0</v>
      </c>
      <c r="AY23">
        <v>0</v>
      </c>
      <c r="AZ23">
        <v>0</v>
      </c>
      <c r="BA23">
        <v>0</v>
      </c>
      <c r="BB23">
        <v>0</v>
      </c>
      <c r="BC23">
        <v>0</v>
      </c>
      <c r="BD23">
        <v>0</v>
      </c>
      <c r="BE23">
        <v>1</v>
      </c>
      <c r="BF23">
        <v>1</v>
      </c>
      <c r="BG23">
        <v>1</v>
      </c>
      <c r="BH23">
        <v>1</v>
      </c>
      <c r="BI23">
        <f t="shared" si="5"/>
        <v>0</v>
      </c>
      <c r="BJ23" cm="1">
        <f t="array" ref="BJ23">IF(MAX(FREQUENCY(IF(AO23:BH23&gt;0,ROW(AO23:BH23)),IF(AO23:BH23&lt;=0,ROW(AO23:BH23))))&gt;=7, 1, 0)</f>
        <v>1</v>
      </c>
    </row>
    <row r="24" spans="1:62" x14ac:dyDescent="0.25">
      <c r="A24" t="s">
        <v>101</v>
      </c>
      <c r="B24" t="s">
        <v>342</v>
      </c>
      <c r="C24" t="s">
        <v>444</v>
      </c>
      <c r="D24" t="s">
        <v>337</v>
      </c>
      <c r="E24" s="9">
        <v>39195</v>
      </c>
      <c r="F24" s="9">
        <v>40290</v>
      </c>
      <c r="G24" s="2">
        <v>6020000</v>
      </c>
      <c r="H24">
        <v>10</v>
      </c>
      <c r="I24" t="s">
        <v>445</v>
      </c>
      <c r="J24" t="s">
        <v>445</v>
      </c>
      <c r="K24" s="9">
        <v>40290</v>
      </c>
      <c r="L24" s="2">
        <v>48160000</v>
      </c>
      <c r="M24">
        <v>40</v>
      </c>
      <c r="N24" s="2">
        <v>47156000</v>
      </c>
      <c r="O24">
        <v>0</v>
      </c>
      <c r="P24" t="s">
        <v>446</v>
      </c>
      <c r="Q24">
        <f t="shared" si="2"/>
        <v>2007</v>
      </c>
      <c r="R24">
        <f t="shared" si="3"/>
        <v>2010</v>
      </c>
      <c r="S24">
        <f t="shared" si="4"/>
        <v>0</v>
      </c>
      <c r="T24">
        <f t="shared" si="1"/>
        <v>0</v>
      </c>
      <c r="U24">
        <f t="shared" si="1"/>
        <v>1</v>
      </c>
      <c r="V24">
        <f t="shared" si="1"/>
        <v>1</v>
      </c>
      <c r="W24">
        <f t="shared" si="1"/>
        <v>1</v>
      </c>
      <c r="X24">
        <f t="shared" si="1"/>
        <v>1</v>
      </c>
      <c r="Y24">
        <f t="shared" si="1"/>
        <v>0</v>
      </c>
      <c r="Z24">
        <f t="shared" si="1"/>
        <v>0</v>
      </c>
      <c r="AA24">
        <f t="shared" si="1"/>
        <v>0</v>
      </c>
      <c r="AB24">
        <f t="shared" ref="AB24:AL55" si="6">IF(AND(AB$10 &gt;= $Q24, AB$10 &lt;= $R24), 1, 0)</f>
        <v>0</v>
      </c>
      <c r="AC24">
        <f t="shared" si="6"/>
        <v>0</v>
      </c>
      <c r="AD24">
        <f t="shared" si="6"/>
        <v>0</v>
      </c>
      <c r="AE24">
        <f t="shared" si="6"/>
        <v>0</v>
      </c>
      <c r="AF24">
        <f t="shared" si="6"/>
        <v>0</v>
      </c>
      <c r="AG24">
        <f t="shared" si="6"/>
        <v>0</v>
      </c>
      <c r="AH24">
        <f t="shared" si="6"/>
        <v>0</v>
      </c>
      <c r="AI24">
        <f t="shared" si="6"/>
        <v>0</v>
      </c>
      <c r="AJ24">
        <f t="shared" si="6"/>
        <v>0</v>
      </c>
      <c r="AK24">
        <f t="shared" si="6"/>
        <v>0</v>
      </c>
      <c r="AL24">
        <f t="shared" si="6"/>
        <v>0</v>
      </c>
      <c r="AN24" s="7" t="s">
        <v>350</v>
      </c>
      <c r="AO24">
        <v>0</v>
      </c>
      <c r="AP24">
        <v>0</v>
      </c>
      <c r="AQ24">
        <v>0</v>
      </c>
      <c r="AR24">
        <v>1</v>
      </c>
      <c r="AS24">
        <v>1</v>
      </c>
      <c r="AT24">
        <v>1</v>
      </c>
      <c r="AU24">
        <v>1</v>
      </c>
      <c r="AV24">
        <v>0</v>
      </c>
      <c r="AW24">
        <v>0</v>
      </c>
      <c r="AX24">
        <v>0</v>
      </c>
      <c r="AY24">
        <v>0</v>
      </c>
      <c r="AZ24">
        <v>0</v>
      </c>
      <c r="BA24">
        <v>0</v>
      </c>
      <c r="BB24">
        <v>0</v>
      </c>
      <c r="BC24">
        <v>1</v>
      </c>
      <c r="BD24">
        <v>1</v>
      </c>
      <c r="BE24">
        <v>1</v>
      </c>
      <c r="BF24">
        <v>2</v>
      </c>
      <c r="BG24">
        <v>1</v>
      </c>
      <c r="BH24">
        <v>1</v>
      </c>
      <c r="BI24">
        <f t="shared" si="5"/>
        <v>0</v>
      </c>
      <c r="BJ24" cm="1">
        <f t="array" ref="BJ24">IF(MAX(FREQUENCY(IF(AO24:BH24&gt;0,ROW(AO24:BH24)),IF(AO24:BH24&lt;=0,ROW(AO24:BH24))))&gt;=7, 1, 0)</f>
        <v>1</v>
      </c>
    </row>
    <row r="25" spans="1:62" x14ac:dyDescent="0.25">
      <c r="A25" t="s">
        <v>101</v>
      </c>
      <c r="B25" t="s">
        <v>342</v>
      </c>
      <c r="C25" t="s">
        <v>444</v>
      </c>
      <c r="D25" t="s">
        <v>337</v>
      </c>
      <c r="E25" s="9">
        <v>40343</v>
      </c>
      <c r="F25" s="9">
        <v>41438</v>
      </c>
      <c r="G25" s="2">
        <v>46154000</v>
      </c>
      <c r="H25">
        <v>76.7</v>
      </c>
      <c r="I25" t="s">
        <v>445</v>
      </c>
      <c r="J25" t="s">
        <v>445</v>
      </c>
      <c r="K25" s="9">
        <v>41631</v>
      </c>
      <c r="L25" s="2">
        <v>82274000</v>
      </c>
      <c r="M25">
        <v>68.3</v>
      </c>
      <c r="N25" s="2">
        <v>82274000</v>
      </c>
      <c r="O25">
        <v>0</v>
      </c>
      <c r="P25" t="s">
        <v>446</v>
      </c>
      <c r="Q25">
        <f t="shared" si="2"/>
        <v>2010</v>
      </c>
      <c r="R25">
        <f t="shared" si="3"/>
        <v>2013</v>
      </c>
      <c r="S25">
        <f t="shared" si="4"/>
        <v>0</v>
      </c>
      <c r="T25">
        <f t="shared" si="4"/>
        <v>0</v>
      </c>
      <c r="U25">
        <f t="shared" si="4"/>
        <v>0</v>
      </c>
      <c r="V25">
        <f t="shared" si="4"/>
        <v>0</v>
      </c>
      <c r="W25">
        <f t="shared" si="4"/>
        <v>0</v>
      </c>
      <c r="X25">
        <f t="shared" si="4"/>
        <v>1</v>
      </c>
      <c r="Y25">
        <f t="shared" si="4"/>
        <v>1</v>
      </c>
      <c r="Z25">
        <f t="shared" si="4"/>
        <v>1</v>
      </c>
      <c r="AA25">
        <f t="shared" si="4"/>
        <v>1</v>
      </c>
      <c r="AB25">
        <f t="shared" si="4"/>
        <v>0</v>
      </c>
      <c r="AC25">
        <f t="shared" si="4"/>
        <v>0</v>
      </c>
      <c r="AD25">
        <f t="shared" si="4"/>
        <v>0</v>
      </c>
      <c r="AE25">
        <f t="shared" si="4"/>
        <v>0</v>
      </c>
      <c r="AF25">
        <f t="shared" si="4"/>
        <v>0</v>
      </c>
      <c r="AG25">
        <f t="shared" si="4"/>
        <v>0</v>
      </c>
      <c r="AH25">
        <f t="shared" si="4"/>
        <v>0</v>
      </c>
      <c r="AI25">
        <f t="shared" si="6"/>
        <v>0</v>
      </c>
      <c r="AJ25">
        <f t="shared" si="6"/>
        <v>0</v>
      </c>
      <c r="AK25">
        <f t="shared" si="6"/>
        <v>0</v>
      </c>
      <c r="AL25">
        <f t="shared" si="6"/>
        <v>0</v>
      </c>
      <c r="AN25" s="7" t="s">
        <v>134</v>
      </c>
      <c r="AO25">
        <v>0</v>
      </c>
      <c r="AP25">
        <v>0</v>
      </c>
      <c r="AQ25">
        <v>0</v>
      </c>
      <c r="AR25">
        <v>0</v>
      </c>
      <c r="AS25">
        <v>1</v>
      </c>
      <c r="AT25">
        <v>1</v>
      </c>
      <c r="AU25">
        <v>2</v>
      </c>
      <c r="AV25">
        <v>2</v>
      </c>
      <c r="AW25">
        <v>1</v>
      </c>
      <c r="AX25">
        <v>1</v>
      </c>
      <c r="AY25">
        <v>0</v>
      </c>
      <c r="AZ25">
        <v>1</v>
      </c>
      <c r="BA25">
        <v>1</v>
      </c>
      <c r="BB25">
        <v>1</v>
      </c>
      <c r="BC25">
        <v>1</v>
      </c>
      <c r="BD25">
        <v>0</v>
      </c>
      <c r="BE25">
        <v>0</v>
      </c>
      <c r="BF25">
        <v>0</v>
      </c>
      <c r="BG25">
        <v>1</v>
      </c>
      <c r="BH25">
        <v>1</v>
      </c>
      <c r="BI25">
        <f t="shared" si="5"/>
        <v>0</v>
      </c>
      <c r="BJ25" cm="1">
        <f t="array" ref="BJ25">IF(MAX(FREQUENCY(IF(AO25:BH25&gt;0,ROW(AO25:BH25)),IF(AO25:BH25&lt;=0,ROW(AO25:BH25))))&gt;=7, 1, 0)</f>
        <v>1</v>
      </c>
    </row>
    <row r="26" spans="1:62" x14ac:dyDescent="0.25">
      <c r="A26" t="s">
        <v>101</v>
      </c>
      <c r="B26" t="s">
        <v>342</v>
      </c>
      <c r="C26" t="s">
        <v>444</v>
      </c>
      <c r="D26" t="s">
        <v>337</v>
      </c>
      <c r="E26" s="9">
        <v>41635</v>
      </c>
      <c r="F26" s="9">
        <v>42730</v>
      </c>
      <c r="G26" s="2">
        <v>27090000</v>
      </c>
      <c r="H26">
        <v>45</v>
      </c>
      <c r="I26" t="s">
        <v>445</v>
      </c>
      <c r="J26" t="s">
        <v>445</v>
      </c>
      <c r="K26" s="9">
        <v>42940</v>
      </c>
      <c r="L26" s="2">
        <v>55640000</v>
      </c>
      <c r="M26">
        <v>46.2</v>
      </c>
      <c r="N26" s="2">
        <v>55640000</v>
      </c>
      <c r="O26" s="2">
        <v>12344000</v>
      </c>
      <c r="P26" t="s">
        <v>446</v>
      </c>
      <c r="Q26">
        <f t="shared" si="2"/>
        <v>2013</v>
      </c>
      <c r="R26">
        <f t="shared" si="3"/>
        <v>2016</v>
      </c>
      <c r="S26">
        <f t="shared" si="4"/>
        <v>0</v>
      </c>
      <c r="T26">
        <f t="shared" si="4"/>
        <v>0</v>
      </c>
      <c r="U26">
        <f t="shared" si="4"/>
        <v>0</v>
      </c>
      <c r="V26">
        <f t="shared" si="4"/>
        <v>0</v>
      </c>
      <c r="W26">
        <f t="shared" si="4"/>
        <v>0</v>
      </c>
      <c r="X26">
        <f t="shared" si="4"/>
        <v>0</v>
      </c>
      <c r="Y26">
        <f t="shared" si="4"/>
        <v>0</v>
      </c>
      <c r="Z26">
        <f t="shared" si="4"/>
        <v>0</v>
      </c>
      <c r="AA26">
        <f t="shared" si="4"/>
        <v>1</v>
      </c>
      <c r="AB26">
        <f t="shared" si="4"/>
        <v>1</v>
      </c>
      <c r="AC26">
        <f t="shared" si="4"/>
        <v>1</v>
      </c>
      <c r="AD26">
        <f t="shared" si="4"/>
        <v>1</v>
      </c>
      <c r="AE26">
        <f t="shared" si="4"/>
        <v>0</v>
      </c>
      <c r="AF26">
        <f t="shared" si="4"/>
        <v>0</v>
      </c>
      <c r="AG26">
        <f t="shared" si="4"/>
        <v>0</v>
      </c>
      <c r="AH26">
        <f t="shared" si="4"/>
        <v>0</v>
      </c>
      <c r="AI26">
        <f t="shared" si="6"/>
        <v>0</v>
      </c>
      <c r="AJ26">
        <f t="shared" si="6"/>
        <v>0</v>
      </c>
      <c r="AK26">
        <f t="shared" si="6"/>
        <v>0</v>
      </c>
      <c r="AL26">
        <f t="shared" si="6"/>
        <v>0</v>
      </c>
      <c r="AN26" s="7" t="s">
        <v>135</v>
      </c>
      <c r="AO26">
        <v>0</v>
      </c>
      <c r="AP26">
        <v>0</v>
      </c>
      <c r="AQ26">
        <v>0</v>
      </c>
      <c r="AR26">
        <v>1</v>
      </c>
      <c r="AS26">
        <v>1</v>
      </c>
      <c r="AT26">
        <v>1</v>
      </c>
      <c r="AU26">
        <v>1</v>
      </c>
      <c r="AV26">
        <v>0</v>
      </c>
      <c r="AW26">
        <v>0</v>
      </c>
      <c r="AX26">
        <v>0</v>
      </c>
      <c r="AY26">
        <v>0</v>
      </c>
      <c r="AZ26">
        <v>0</v>
      </c>
      <c r="BA26">
        <v>0</v>
      </c>
      <c r="BB26">
        <v>0</v>
      </c>
      <c r="BC26">
        <v>0</v>
      </c>
      <c r="BD26">
        <v>0</v>
      </c>
      <c r="BE26">
        <v>0</v>
      </c>
      <c r="BF26">
        <v>0</v>
      </c>
      <c r="BG26">
        <v>0</v>
      </c>
      <c r="BH26">
        <v>0</v>
      </c>
      <c r="BI26">
        <f t="shared" si="5"/>
        <v>0</v>
      </c>
      <c r="BJ26" cm="1">
        <f t="array" ref="BJ26">IF(MAX(FREQUENCY(IF(AO26:BH26&gt;0,ROW(AO26:BH26)),IF(AO26:BH26&lt;=0,ROW(AO26:BH26))))&gt;=7, 1, 0)</f>
        <v>0</v>
      </c>
    </row>
    <row r="27" spans="1:62" x14ac:dyDescent="0.25">
      <c r="A27" t="s">
        <v>101</v>
      </c>
      <c r="B27" t="s">
        <v>342</v>
      </c>
      <c r="C27" t="s">
        <v>444</v>
      </c>
      <c r="D27" t="s">
        <v>337</v>
      </c>
      <c r="E27" s="9">
        <v>43173</v>
      </c>
      <c r="F27" s="9">
        <v>44268</v>
      </c>
      <c r="G27" s="2">
        <v>108360000</v>
      </c>
      <c r="H27">
        <v>90</v>
      </c>
      <c r="I27" t="s">
        <v>445</v>
      </c>
      <c r="J27" t="s">
        <v>445</v>
      </c>
      <c r="K27" s="9">
        <v>44152</v>
      </c>
      <c r="L27" s="2">
        <v>108360000</v>
      </c>
      <c r="M27">
        <v>90</v>
      </c>
      <c r="N27" s="2">
        <v>108360000</v>
      </c>
      <c r="O27" s="2">
        <v>101136000</v>
      </c>
      <c r="P27" t="s">
        <v>446</v>
      </c>
      <c r="Q27">
        <f t="shared" si="2"/>
        <v>2018</v>
      </c>
      <c r="R27">
        <f t="shared" si="3"/>
        <v>2021</v>
      </c>
      <c r="S27">
        <f t="shared" si="4"/>
        <v>0</v>
      </c>
      <c r="T27">
        <f t="shared" si="4"/>
        <v>0</v>
      </c>
      <c r="U27">
        <f t="shared" si="4"/>
        <v>0</v>
      </c>
      <c r="V27">
        <f t="shared" si="4"/>
        <v>0</v>
      </c>
      <c r="W27">
        <f t="shared" si="4"/>
        <v>0</v>
      </c>
      <c r="X27">
        <f t="shared" si="4"/>
        <v>0</v>
      </c>
      <c r="Y27">
        <f t="shared" si="4"/>
        <v>0</v>
      </c>
      <c r="Z27">
        <f t="shared" si="4"/>
        <v>0</v>
      </c>
      <c r="AA27">
        <f t="shared" si="4"/>
        <v>0</v>
      </c>
      <c r="AB27">
        <f t="shared" si="4"/>
        <v>0</v>
      </c>
      <c r="AC27">
        <f t="shared" si="4"/>
        <v>0</v>
      </c>
      <c r="AD27">
        <f t="shared" si="4"/>
        <v>0</v>
      </c>
      <c r="AE27">
        <f t="shared" si="4"/>
        <v>0</v>
      </c>
      <c r="AF27">
        <f t="shared" si="4"/>
        <v>1</v>
      </c>
      <c r="AG27">
        <f t="shared" si="4"/>
        <v>1</v>
      </c>
      <c r="AH27">
        <f t="shared" si="4"/>
        <v>1</v>
      </c>
      <c r="AI27">
        <f t="shared" si="6"/>
        <v>1</v>
      </c>
      <c r="AJ27">
        <f t="shared" si="6"/>
        <v>0</v>
      </c>
      <c r="AK27">
        <f t="shared" si="6"/>
        <v>0</v>
      </c>
      <c r="AL27">
        <f t="shared" si="6"/>
        <v>0</v>
      </c>
      <c r="AN27" s="7" t="s">
        <v>143</v>
      </c>
      <c r="AO27">
        <v>0</v>
      </c>
      <c r="AP27">
        <v>0</v>
      </c>
      <c r="AQ27">
        <v>0</v>
      </c>
      <c r="AR27">
        <v>0</v>
      </c>
      <c r="AS27">
        <v>1</v>
      </c>
      <c r="AT27">
        <v>1</v>
      </c>
      <c r="AU27">
        <v>0</v>
      </c>
      <c r="AV27">
        <v>0</v>
      </c>
      <c r="AW27">
        <v>0</v>
      </c>
      <c r="AX27">
        <v>0</v>
      </c>
      <c r="AY27">
        <v>0</v>
      </c>
      <c r="AZ27">
        <v>0</v>
      </c>
      <c r="BA27">
        <v>0</v>
      </c>
      <c r="BB27">
        <v>0</v>
      </c>
      <c r="BC27">
        <v>1</v>
      </c>
      <c r="BD27">
        <v>1</v>
      </c>
      <c r="BE27">
        <v>1</v>
      </c>
      <c r="BF27">
        <v>1</v>
      </c>
      <c r="BG27">
        <v>0</v>
      </c>
      <c r="BH27">
        <v>1</v>
      </c>
      <c r="BI27">
        <f t="shared" si="5"/>
        <v>0</v>
      </c>
      <c r="BJ27" cm="1">
        <f t="array" ref="BJ27">IF(MAX(FREQUENCY(IF(AO27:BH27&gt;0,ROW(AO27:BH27)),IF(AO27:BH27&lt;=0,ROW(AO27:BH27))))&gt;=7, 1, 0)</f>
        <v>1</v>
      </c>
    </row>
    <row r="28" spans="1:62" x14ac:dyDescent="0.25">
      <c r="A28" t="s">
        <v>101</v>
      </c>
      <c r="B28" t="s">
        <v>342</v>
      </c>
      <c r="C28" t="s">
        <v>444</v>
      </c>
      <c r="D28" t="s">
        <v>337</v>
      </c>
      <c r="E28" s="9">
        <v>45190</v>
      </c>
      <c r="F28" s="9">
        <v>46650</v>
      </c>
      <c r="G28" s="2">
        <v>228760000</v>
      </c>
      <c r="H28">
        <v>190</v>
      </c>
      <c r="I28" t="s">
        <v>445</v>
      </c>
      <c r="J28" t="s">
        <v>445</v>
      </c>
      <c r="K28" s="9">
        <v>46650</v>
      </c>
      <c r="L28" s="2">
        <v>228760000</v>
      </c>
      <c r="M28">
        <v>190</v>
      </c>
      <c r="N28" s="2">
        <v>72240000</v>
      </c>
      <c r="O28" s="2">
        <v>72240000</v>
      </c>
      <c r="P28" t="s">
        <v>451</v>
      </c>
      <c r="Q28">
        <f t="shared" si="2"/>
        <v>2023</v>
      </c>
      <c r="R28">
        <f t="shared" si="3"/>
        <v>2024</v>
      </c>
      <c r="S28">
        <f t="shared" si="4"/>
        <v>0</v>
      </c>
      <c r="T28">
        <f t="shared" si="4"/>
        <v>0</v>
      </c>
      <c r="U28">
        <f t="shared" si="4"/>
        <v>0</v>
      </c>
      <c r="V28">
        <f t="shared" si="4"/>
        <v>0</v>
      </c>
      <c r="W28">
        <f t="shared" si="4"/>
        <v>0</v>
      </c>
      <c r="X28">
        <f t="shared" si="4"/>
        <v>0</v>
      </c>
      <c r="Y28">
        <f t="shared" si="4"/>
        <v>0</v>
      </c>
      <c r="Z28">
        <f t="shared" si="4"/>
        <v>0</v>
      </c>
      <c r="AA28">
        <f t="shared" si="4"/>
        <v>0</v>
      </c>
      <c r="AB28">
        <f t="shared" si="4"/>
        <v>0</v>
      </c>
      <c r="AC28">
        <f t="shared" si="4"/>
        <v>0</v>
      </c>
      <c r="AD28">
        <f t="shared" si="4"/>
        <v>0</v>
      </c>
      <c r="AE28">
        <f t="shared" si="4"/>
        <v>0</v>
      </c>
      <c r="AF28">
        <f t="shared" si="4"/>
        <v>0</v>
      </c>
      <c r="AG28">
        <f t="shared" si="4"/>
        <v>0</v>
      </c>
      <c r="AH28">
        <f t="shared" si="4"/>
        <v>0</v>
      </c>
      <c r="AI28">
        <f t="shared" si="6"/>
        <v>0</v>
      </c>
      <c r="AJ28">
        <f t="shared" si="6"/>
        <v>0</v>
      </c>
      <c r="AK28">
        <f t="shared" si="6"/>
        <v>1</v>
      </c>
      <c r="AL28">
        <f t="shared" si="6"/>
        <v>1</v>
      </c>
      <c r="AN28" s="7" t="s">
        <v>145</v>
      </c>
      <c r="AO28">
        <v>0</v>
      </c>
      <c r="AP28">
        <v>0</v>
      </c>
      <c r="AQ28">
        <v>1</v>
      </c>
      <c r="AR28">
        <v>1</v>
      </c>
      <c r="AS28">
        <v>1</v>
      </c>
      <c r="AT28">
        <v>1</v>
      </c>
      <c r="AU28">
        <v>0</v>
      </c>
      <c r="AV28">
        <v>1</v>
      </c>
      <c r="AW28">
        <v>1</v>
      </c>
      <c r="AX28">
        <v>1</v>
      </c>
      <c r="AY28">
        <v>1</v>
      </c>
      <c r="AZ28">
        <v>0</v>
      </c>
      <c r="BA28">
        <v>0</v>
      </c>
      <c r="BB28">
        <v>0</v>
      </c>
      <c r="BC28">
        <v>0</v>
      </c>
      <c r="BD28">
        <v>1</v>
      </c>
      <c r="BE28">
        <v>1</v>
      </c>
      <c r="BF28">
        <v>1</v>
      </c>
      <c r="BG28">
        <v>1</v>
      </c>
      <c r="BH28">
        <v>1</v>
      </c>
      <c r="BI28">
        <f t="shared" si="5"/>
        <v>0</v>
      </c>
      <c r="BJ28" cm="1">
        <f t="array" ref="BJ28">IF(MAX(FREQUENCY(IF(AO28:BH28&gt;0,ROW(AO28:BH28)),IF(AO28:BH28&lt;=0,ROW(AO28:BH28))))&gt;=7, 1, 0)</f>
        <v>1</v>
      </c>
    </row>
    <row r="29" spans="1:62" x14ac:dyDescent="0.25">
      <c r="A29" t="s">
        <v>106</v>
      </c>
      <c r="B29" t="s">
        <v>343</v>
      </c>
      <c r="C29" t="s">
        <v>444</v>
      </c>
      <c r="D29" t="s">
        <v>337</v>
      </c>
      <c r="E29" s="9">
        <v>39636</v>
      </c>
      <c r="F29" s="9">
        <v>40730</v>
      </c>
      <c r="G29" s="2">
        <v>46200000</v>
      </c>
      <c r="H29">
        <v>60</v>
      </c>
      <c r="I29" t="s">
        <v>445</v>
      </c>
      <c r="J29" t="s">
        <v>445</v>
      </c>
      <c r="K29" s="9">
        <v>40931</v>
      </c>
      <c r="L29" s="2">
        <v>51200000</v>
      </c>
      <c r="M29">
        <v>33.200000000000003</v>
      </c>
      <c r="N29" s="2">
        <v>51200000</v>
      </c>
      <c r="O29">
        <v>0</v>
      </c>
      <c r="P29" t="s">
        <v>446</v>
      </c>
      <c r="Q29">
        <f t="shared" si="2"/>
        <v>2008</v>
      </c>
      <c r="R29">
        <f t="shared" si="3"/>
        <v>2011</v>
      </c>
      <c r="S29">
        <f t="shared" si="4"/>
        <v>0</v>
      </c>
      <c r="T29">
        <f t="shared" si="4"/>
        <v>0</v>
      </c>
      <c r="U29">
        <f t="shared" si="4"/>
        <v>0</v>
      </c>
      <c r="V29">
        <f t="shared" si="4"/>
        <v>1</v>
      </c>
      <c r="W29">
        <f t="shared" si="4"/>
        <v>1</v>
      </c>
      <c r="X29">
        <f t="shared" si="4"/>
        <v>1</v>
      </c>
      <c r="Y29">
        <f t="shared" si="4"/>
        <v>1</v>
      </c>
      <c r="Z29">
        <f t="shared" si="4"/>
        <v>0</v>
      </c>
      <c r="AA29">
        <f t="shared" si="4"/>
        <v>0</v>
      </c>
      <c r="AB29">
        <f t="shared" si="4"/>
        <v>0</v>
      </c>
      <c r="AC29">
        <f t="shared" si="4"/>
        <v>0</v>
      </c>
      <c r="AD29">
        <f t="shared" si="4"/>
        <v>0</v>
      </c>
      <c r="AE29">
        <f t="shared" si="4"/>
        <v>0</v>
      </c>
      <c r="AF29">
        <f t="shared" si="4"/>
        <v>0</v>
      </c>
      <c r="AG29">
        <f t="shared" si="4"/>
        <v>0</v>
      </c>
      <c r="AH29">
        <f t="shared" si="4"/>
        <v>0</v>
      </c>
      <c r="AI29">
        <f t="shared" si="6"/>
        <v>0</v>
      </c>
      <c r="AJ29">
        <f t="shared" si="6"/>
        <v>0</v>
      </c>
      <c r="AK29">
        <f t="shared" si="6"/>
        <v>0</v>
      </c>
      <c r="AL29">
        <f t="shared" si="6"/>
        <v>0</v>
      </c>
      <c r="AN29" s="7" t="s">
        <v>452</v>
      </c>
      <c r="AO29">
        <v>0</v>
      </c>
      <c r="AP29">
        <v>0</v>
      </c>
      <c r="AQ29">
        <v>0</v>
      </c>
      <c r="AR29">
        <v>0</v>
      </c>
      <c r="AS29">
        <v>0</v>
      </c>
      <c r="AT29">
        <v>0</v>
      </c>
      <c r="AU29">
        <v>0</v>
      </c>
      <c r="AV29">
        <v>1</v>
      </c>
      <c r="AW29">
        <v>1</v>
      </c>
      <c r="AX29">
        <v>1</v>
      </c>
      <c r="AY29">
        <v>0</v>
      </c>
      <c r="AZ29">
        <v>0</v>
      </c>
      <c r="BA29">
        <v>0</v>
      </c>
      <c r="BB29">
        <v>0</v>
      </c>
      <c r="BC29">
        <v>0</v>
      </c>
      <c r="BD29">
        <v>0</v>
      </c>
      <c r="BE29">
        <v>0</v>
      </c>
      <c r="BF29">
        <v>0</v>
      </c>
      <c r="BG29">
        <v>0</v>
      </c>
      <c r="BH29">
        <v>0</v>
      </c>
      <c r="BI29">
        <f t="shared" si="5"/>
        <v>0</v>
      </c>
      <c r="BJ29" cm="1">
        <f t="array" ref="BJ29">IF(MAX(FREQUENCY(IF(AO29:BH29&gt;0,ROW(AO29:BH29)),IF(AO29:BH29&lt;=0,ROW(AO29:BH29))))&gt;=7, 1, 0)</f>
        <v>0</v>
      </c>
    </row>
    <row r="30" spans="1:62" x14ac:dyDescent="0.25">
      <c r="A30" t="s">
        <v>106</v>
      </c>
      <c r="B30" t="s">
        <v>343</v>
      </c>
      <c r="C30" t="s">
        <v>444</v>
      </c>
      <c r="D30" t="s">
        <v>337</v>
      </c>
      <c r="E30" s="9">
        <v>40935</v>
      </c>
      <c r="F30" s="9">
        <v>42030</v>
      </c>
      <c r="G30" s="2">
        <v>30000000</v>
      </c>
      <c r="H30">
        <v>39</v>
      </c>
      <c r="I30" t="s">
        <v>445</v>
      </c>
      <c r="J30" t="s">
        <v>445</v>
      </c>
      <c r="K30" s="9">
        <v>42460</v>
      </c>
      <c r="L30" s="2">
        <v>40000000</v>
      </c>
      <c r="M30">
        <v>26</v>
      </c>
      <c r="N30" s="2">
        <v>30000000</v>
      </c>
      <c r="O30" s="2">
        <v>500000</v>
      </c>
      <c r="P30" t="s">
        <v>446</v>
      </c>
      <c r="Q30">
        <f t="shared" si="2"/>
        <v>2012</v>
      </c>
      <c r="R30">
        <f t="shared" si="3"/>
        <v>2015</v>
      </c>
      <c r="S30">
        <f t="shared" si="4"/>
        <v>0</v>
      </c>
      <c r="T30">
        <f t="shared" si="4"/>
        <v>0</v>
      </c>
      <c r="U30">
        <f t="shared" si="4"/>
        <v>0</v>
      </c>
      <c r="V30">
        <f t="shared" si="4"/>
        <v>0</v>
      </c>
      <c r="W30">
        <f t="shared" si="4"/>
        <v>0</v>
      </c>
      <c r="X30">
        <f t="shared" si="4"/>
        <v>0</v>
      </c>
      <c r="Y30">
        <f t="shared" si="4"/>
        <v>0</v>
      </c>
      <c r="Z30">
        <f t="shared" si="4"/>
        <v>1</v>
      </c>
      <c r="AA30">
        <f t="shared" si="4"/>
        <v>1</v>
      </c>
      <c r="AB30">
        <f t="shared" si="4"/>
        <v>1</v>
      </c>
      <c r="AC30">
        <f t="shared" si="4"/>
        <v>1</v>
      </c>
      <c r="AD30">
        <f t="shared" si="4"/>
        <v>0</v>
      </c>
      <c r="AE30">
        <f t="shared" si="4"/>
        <v>0</v>
      </c>
      <c r="AF30">
        <f t="shared" si="4"/>
        <v>0</v>
      </c>
      <c r="AG30">
        <f t="shared" si="4"/>
        <v>0</v>
      </c>
      <c r="AH30">
        <f t="shared" si="4"/>
        <v>0</v>
      </c>
      <c r="AI30">
        <f t="shared" si="6"/>
        <v>0</v>
      </c>
      <c r="AJ30">
        <f t="shared" si="6"/>
        <v>0</v>
      </c>
      <c r="AK30">
        <f t="shared" si="6"/>
        <v>0</v>
      </c>
      <c r="AL30">
        <f t="shared" si="6"/>
        <v>0</v>
      </c>
      <c r="AN30" s="7" t="s">
        <v>146</v>
      </c>
      <c r="AO30">
        <v>0</v>
      </c>
      <c r="AP30">
        <v>0</v>
      </c>
      <c r="AQ30">
        <v>0</v>
      </c>
      <c r="AR30">
        <v>0</v>
      </c>
      <c r="AS30">
        <v>1</v>
      </c>
      <c r="AT30">
        <v>1</v>
      </c>
      <c r="AU30">
        <v>1</v>
      </c>
      <c r="AV30">
        <v>1</v>
      </c>
      <c r="AW30">
        <v>0</v>
      </c>
      <c r="AX30">
        <v>0</v>
      </c>
      <c r="AY30">
        <v>1</v>
      </c>
      <c r="AZ30">
        <v>1</v>
      </c>
      <c r="BA30">
        <v>1</v>
      </c>
      <c r="BB30">
        <v>1</v>
      </c>
      <c r="BC30">
        <v>0</v>
      </c>
      <c r="BD30">
        <v>0</v>
      </c>
      <c r="BE30">
        <v>0</v>
      </c>
      <c r="BF30">
        <v>0</v>
      </c>
      <c r="BG30">
        <v>1</v>
      </c>
      <c r="BH30">
        <v>1</v>
      </c>
      <c r="BI30">
        <f t="shared" si="5"/>
        <v>0</v>
      </c>
      <c r="BJ30" cm="1">
        <f t="array" ref="BJ30">IF(MAX(FREQUENCY(IF(AO30:BH30&gt;0,ROW(AO30:BH30)),IF(AO30:BH30&lt;=0,ROW(AO30:BH30))))&gt;=7, 1, 0)</f>
        <v>1</v>
      </c>
    </row>
    <row r="31" spans="1:62" x14ac:dyDescent="0.25">
      <c r="A31" t="s">
        <v>106</v>
      </c>
      <c r="B31" t="s">
        <v>343</v>
      </c>
      <c r="C31" t="s">
        <v>444</v>
      </c>
      <c r="D31" t="s">
        <v>337</v>
      </c>
      <c r="E31" s="9">
        <v>45124</v>
      </c>
      <c r="F31" s="9">
        <v>46281</v>
      </c>
      <c r="G31" s="2">
        <v>200200000</v>
      </c>
      <c r="H31">
        <v>130</v>
      </c>
      <c r="I31" t="s">
        <v>445</v>
      </c>
      <c r="J31" t="s">
        <v>445</v>
      </c>
      <c r="K31" s="9">
        <v>46281</v>
      </c>
      <c r="L31" s="2">
        <v>200200000</v>
      </c>
      <c r="M31">
        <v>130</v>
      </c>
      <c r="N31" s="2">
        <v>46200000</v>
      </c>
      <c r="O31" s="2">
        <v>46200000</v>
      </c>
      <c r="P31" t="s">
        <v>451</v>
      </c>
      <c r="Q31">
        <f t="shared" si="2"/>
        <v>2023</v>
      </c>
      <c r="R31">
        <f t="shared" si="3"/>
        <v>2024</v>
      </c>
      <c r="S31">
        <f t="shared" si="4"/>
        <v>0</v>
      </c>
      <c r="T31">
        <f t="shared" si="4"/>
        <v>0</v>
      </c>
      <c r="U31">
        <f t="shared" si="4"/>
        <v>0</v>
      </c>
      <c r="V31">
        <f t="shared" si="4"/>
        <v>0</v>
      </c>
      <c r="W31">
        <f t="shared" si="4"/>
        <v>0</v>
      </c>
      <c r="X31">
        <f t="shared" si="4"/>
        <v>0</v>
      </c>
      <c r="Y31">
        <f t="shared" si="4"/>
        <v>0</v>
      </c>
      <c r="Z31">
        <f t="shared" si="4"/>
        <v>0</v>
      </c>
      <c r="AA31">
        <f t="shared" si="4"/>
        <v>0</v>
      </c>
      <c r="AB31">
        <f t="shared" si="4"/>
        <v>0</v>
      </c>
      <c r="AC31">
        <f t="shared" si="4"/>
        <v>0</v>
      </c>
      <c r="AD31">
        <f t="shared" si="4"/>
        <v>0</v>
      </c>
      <c r="AE31">
        <f t="shared" si="4"/>
        <v>0</v>
      </c>
      <c r="AF31">
        <f t="shared" si="4"/>
        <v>0</v>
      </c>
      <c r="AG31">
        <f t="shared" si="4"/>
        <v>0</v>
      </c>
      <c r="AH31">
        <f t="shared" si="4"/>
        <v>0</v>
      </c>
      <c r="AI31">
        <f t="shared" si="6"/>
        <v>0</v>
      </c>
      <c r="AJ31">
        <f t="shared" si="6"/>
        <v>0</v>
      </c>
      <c r="AK31">
        <f t="shared" si="6"/>
        <v>1</v>
      </c>
      <c r="AL31">
        <f t="shared" si="6"/>
        <v>1</v>
      </c>
      <c r="AN31" s="7" t="s">
        <v>148</v>
      </c>
      <c r="AO31">
        <v>0</v>
      </c>
      <c r="AP31">
        <v>1</v>
      </c>
      <c r="AQ31">
        <v>1</v>
      </c>
      <c r="AR31">
        <v>1</v>
      </c>
      <c r="AS31">
        <v>1</v>
      </c>
      <c r="AT31">
        <v>1</v>
      </c>
      <c r="AU31">
        <v>1</v>
      </c>
      <c r="AV31">
        <v>1</v>
      </c>
      <c r="AW31">
        <v>1</v>
      </c>
      <c r="AX31">
        <v>1</v>
      </c>
      <c r="AY31">
        <v>1</v>
      </c>
      <c r="AZ31">
        <v>1</v>
      </c>
      <c r="BA31">
        <v>1</v>
      </c>
      <c r="BB31">
        <v>0</v>
      </c>
      <c r="BC31">
        <v>0</v>
      </c>
      <c r="BD31">
        <v>0</v>
      </c>
      <c r="BE31">
        <v>0</v>
      </c>
      <c r="BF31">
        <v>0</v>
      </c>
      <c r="BG31">
        <v>0</v>
      </c>
      <c r="BH31">
        <v>0</v>
      </c>
      <c r="BI31">
        <f t="shared" si="5"/>
        <v>0</v>
      </c>
      <c r="BJ31" cm="1">
        <f t="array" ref="BJ31">IF(MAX(FREQUENCY(IF(AO31:BH31&gt;0,ROW(AO31:BH31)),IF(AO31:BH31&lt;=0,ROW(AO31:BH31))))&gt;=7, 1, 0)</f>
        <v>1</v>
      </c>
    </row>
    <row r="32" spans="1:62" x14ac:dyDescent="0.25">
      <c r="A32" t="s">
        <v>109</v>
      </c>
      <c r="B32" t="s">
        <v>344</v>
      </c>
      <c r="C32" t="s">
        <v>444</v>
      </c>
      <c r="D32" t="s">
        <v>337</v>
      </c>
      <c r="E32" s="9">
        <v>44727</v>
      </c>
      <c r="F32" s="9">
        <v>45822</v>
      </c>
      <c r="G32" s="2">
        <v>45030000</v>
      </c>
      <c r="H32">
        <v>190</v>
      </c>
      <c r="I32" t="s">
        <v>445</v>
      </c>
      <c r="J32" t="s">
        <v>445</v>
      </c>
      <c r="K32" s="9">
        <v>45822</v>
      </c>
      <c r="L32" s="2">
        <v>45030000</v>
      </c>
      <c r="M32">
        <v>190</v>
      </c>
      <c r="N32" s="2">
        <v>36020000</v>
      </c>
      <c r="O32" s="2">
        <v>36020000</v>
      </c>
      <c r="P32" t="s">
        <v>451</v>
      </c>
      <c r="Q32">
        <f t="shared" si="2"/>
        <v>2022</v>
      </c>
      <c r="R32">
        <f t="shared" si="3"/>
        <v>2024</v>
      </c>
      <c r="S32">
        <f t="shared" si="4"/>
        <v>0</v>
      </c>
      <c r="T32">
        <f t="shared" si="4"/>
        <v>0</v>
      </c>
      <c r="U32">
        <f t="shared" si="4"/>
        <v>0</v>
      </c>
      <c r="V32">
        <f t="shared" si="4"/>
        <v>0</v>
      </c>
      <c r="W32">
        <f t="shared" si="4"/>
        <v>0</v>
      </c>
      <c r="X32">
        <f t="shared" si="4"/>
        <v>0</v>
      </c>
      <c r="Y32">
        <f t="shared" si="4"/>
        <v>0</v>
      </c>
      <c r="Z32">
        <f t="shared" si="4"/>
        <v>0</v>
      </c>
      <c r="AA32">
        <f t="shared" si="4"/>
        <v>0</v>
      </c>
      <c r="AB32">
        <f t="shared" si="4"/>
        <v>0</v>
      </c>
      <c r="AC32">
        <f t="shared" si="4"/>
        <v>0</v>
      </c>
      <c r="AD32">
        <f t="shared" si="4"/>
        <v>0</v>
      </c>
      <c r="AE32">
        <f t="shared" si="4"/>
        <v>0</v>
      </c>
      <c r="AF32">
        <f t="shared" si="4"/>
        <v>0</v>
      </c>
      <c r="AG32">
        <f t="shared" si="4"/>
        <v>0</v>
      </c>
      <c r="AH32">
        <f t="shared" si="4"/>
        <v>0</v>
      </c>
      <c r="AI32">
        <f t="shared" si="6"/>
        <v>0</v>
      </c>
      <c r="AJ32">
        <f t="shared" si="6"/>
        <v>1</v>
      </c>
      <c r="AK32">
        <f t="shared" si="6"/>
        <v>1</v>
      </c>
      <c r="AL32">
        <f t="shared" si="6"/>
        <v>1</v>
      </c>
      <c r="AN32" s="7" t="s">
        <v>149</v>
      </c>
      <c r="AO32">
        <v>0</v>
      </c>
      <c r="AP32">
        <v>0</v>
      </c>
      <c r="AQ32">
        <v>1</v>
      </c>
      <c r="AR32">
        <v>1</v>
      </c>
      <c r="AS32">
        <v>1</v>
      </c>
      <c r="AT32">
        <v>1</v>
      </c>
      <c r="AU32">
        <v>0</v>
      </c>
      <c r="AV32">
        <v>1</v>
      </c>
      <c r="AW32">
        <v>1</v>
      </c>
      <c r="AX32">
        <v>1</v>
      </c>
      <c r="AY32">
        <v>1</v>
      </c>
      <c r="AZ32">
        <v>0</v>
      </c>
      <c r="BA32">
        <v>1</v>
      </c>
      <c r="BB32">
        <v>1</v>
      </c>
      <c r="BC32">
        <v>1</v>
      </c>
      <c r="BD32">
        <v>1</v>
      </c>
      <c r="BE32">
        <v>0</v>
      </c>
      <c r="BF32">
        <v>0</v>
      </c>
      <c r="BG32">
        <v>0</v>
      </c>
      <c r="BH32">
        <v>0</v>
      </c>
      <c r="BI32">
        <f t="shared" si="5"/>
        <v>0</v>
      </c>
      <c r="BJ32" cm="1">
        <f t="array" ref="BJ32">IF(MAX(FREQUENCY(IF(AO32:BH32&gt;0,ROW(AO32:BH32)),IF(AO32:BH32&lt;=0,ROW(AO32:BH32))))&gt;=7, 1, 0)</f>
        <v>1</v>
      </c>
    </row>
    <row r="33" spans="1:62" x14ac:dyDescent="0.25">
      <c r="A33" t="s">
        <v>117</v>
      </c>
      <c r="B33" t="s">
        <v>345</v>
      </c>
      <c r="C33" t="s">
        <v>444</v>
      </c>
      <c r="D33" t="s">
        <v>337</v>
      </c>
      <c r="E33" s="9">
        <v>38649</v>
      </c>
      <c r="F33" s="9">
        <v>39744</v>
      </c>
      <c r="G33" s="2">
        <v>18570000</v>
      </c>
      <c r="H33">
        <v>10</v>
      </c>
      <c r="I33" t="s">
        <v>445</v>
      </c>
      <c r="J33" t="s">
        <v>445</v>
      </c>
      <c r="K33" s="9">
        <v>39829</v>
      </c>
      <c r="L33" s="2">
        <v>18570000</v>
      </c>
      <c r="M33">
        <v>6.7</v>
      </c>
      <c r="N33" s="2">
        <v>18570000</v>
      </c>
      <c r="O33">
        <v>0</v>
      </c>
      <c r="P33" t="s">
        <v>446</v>
      </c>
      <c r="Q33">
        <f t="shared" si="2"/>
        <v>2005</v>
      </c>
      <c r="R33">
        <f t="shared" si="3"/>
        <v>2008</v>
      </c>
      <c r="S33">
        <f t="shared" si="4"/>
        <v>1</v>
      </c>
      <c r="T33">
        <f t="shared" si="4"/>
        <v>1</v>
      </c>
      <c r="U33">
        <f t="shared" si="4"/>
        <v>1</v>
      </c>
      <c r="V33">
        <f t="shared" si="4"/>
        <v>1</v>
      </c>
      <c r="W33">
        <f t="shared" si="4"/>
        <v>0</v>
      </c>
      <c r="X33">
        <f t="shared" si="4"/>
        <v>0</v>
      </c>
      <c r="Y33">
        <f t="shared" si="4"/>
        <v>0</v>
      </c>
      <c r="Z33">
        <f t="shared" si="4"/>
        <v>0</v>
      </c>
      <c r="AA33">
        <f t="shared" si="4"/>
        <v>0</v>
      </c>
      <c r="AB33">
        <f t="shared" si="4"/>
        <v>0</v>
      </c>
      <c r="AC33">
        <f t="shared" si="4"/>
        <v>0</v>
      </c>
      <c r="AD33">
        <f t="shared" si="4"/>
        <v>0</v>
      </c>
      <c r="AE33">
        <f t="shared" si="4"/>
        <v>0</v>
      </c>
      <c r="AF33">
        <f t="shared" si="4"/>
        <v>0</v>
      </c>
      <c r="AG33">
        <f t="shared" si="4"/>
        <v>0</v>
      </c>
      <c r="AH33">
        <f t="shared" si="4"/>
        <v>0</v>
      </c>
      <c r="AI33">
        <f t="shared" si="6"/>
        <v>0</v>
      </c>
      <c r="AJ33">
        <f t="shared" si="6"/>
        <v>0</v>
      </c>
      <c r="AK33">
        <f t="shared" si="6"/>
        <v>0</v>
      </c>
      <c r="AL33">
        <f t="shared" si="6"/>
        <v>0</v>
      </c>
      <c r="AN33" s="7" t="s">
        <v>150</v>
      </c>
      <c r="AO33">
        <v>0</v>
      </c>
      <c r="AP33">
        <v>0</v>
      </c>
      <c r="AQ33">
        <v>0</v>
      </c>
      <c r="AR33">
        <v>0</v>
      </c>
      <c r="AS33">
        <v>0</v>
      </c>
      <c r="AT33">
        <v>1</v>
      </c>
      <c r="AU33">
        <v>1</v>
      </c>
      <c r="AV33">
        <v>1</v>
      </c>
      <c r="AW33">
        <v>1</v>
      </c>
      <c r="AX33">
        <v>0</v>
      </c>
      <c r="AY33">
        <v>1</v>
      </c>
      <c r="AZ33">
        <v>1</v>
      </c>
      <c r="BA33">
        <v>1</v>
      </c>
      <c r="BB33">
        <v>1</v>
      </c>
      <c r="BC33">
        <v>0</v>
      </c>
      <c r="BD33">
        <v>0</v>
      </c>
      <c r="BE33">
        <v>0</v>
      </c>
      <c r="BF33">
        <v>0</v>
      </c>
      <c r="BG33">
        <v>1</v>
      </c>
      <c r="BH33">
        <v>1</v>
      </c>
      <c r="BI33">
        <f t="shared" si="5"/>
        <v>0</v>
      </c>
      <c r="BJ33" cm="1">
        <f t="array" ref="BJ33">IF(MAX(FREQUENCY(IF(AO33:BH33&gt;0,ROW(AO33:BH33)),IF(AO33:BH33&lt;=0,ROW(AO33:BH33))))&gt;=7, 1, 0)</f>
        <v>1</v>
      </c>
    </row>
    <row r="34" spans="1:62" x14ac:dyDescent="0.25">
      <c r="A34" t="s">
        <v>117</v>
      </c>
      <c r="B34" t="s">
        <v>345</v>
      </c>
      <c r="C34" t="s">
        <v>444</v>
      </c>
      <c r="D34" t="s">
        <v>337</v>
      </c>
      <c r="E34" s="9">
        <v>42912</v>
      </c>
      <c r="F34" s="9">
        <v>44007</v>
      </c>
      <c r="G34" s="2">
        <v>483000000</v>
      </c>
      <c r="H34">
        <v>175</v>
      </c>
      <c r="I34" t="s">
        <v>445</v>
      </c>
      <c r="J34" t="s">
        <v>445</v>
      </c>
      <c r="K34" s="9">
        <v>44104</v>
      </c>
      <c r="L34" s="2">
        <v>483000000</v>
      </c>
      <c r="M34">
        <v>175</v>
      </c>
      <c r="N34" s="2">
        <v>427800000</v>
      </c>
      <c r="O34" s="2">
        <v>322920000</v>
      </c>
      <c r="P34" t="s">
        <v>446</v>
      </c>
      <c r="Q34">
        <f t="shared" si="2"/>
        <v>2017</v>
      </c>
      <c r="R34">
        <f t="shared" si="3"/>
        <v>2020</v>
      </c>
      <c r="S34">
        <f t="shared" si="4"/>
        <v>0</v>
      </c>
      <c r="T34">
        <f t="shared" si="4"/>
        <v>0</v>
      </c>
      <c r="U34">
        <f t="shared" si="4"/>
        <v>0</v>
      </c>
      <c r="V34">
        <f t="shared" si="4"/>
        <v>0</v>
      </c>
      <c r="W34">
        <f t="shared" si="4"/>
        <v>0</v>
      </c>
      <c r="X34">
        <f t="shared" si="4"/>
        <v>0</v>
      </c>
      <c r="Y34">
        <f t="shared" si="4"/>
        <v>0</v>
      </c>
      <c r="Z34">
        <f t="shared" si="4"/>
        <v>0</v>
      </c>
      <c r="AA34">
        <f t="shared" si="4"/>
        <v>0</v>
      </c>
      <c r="AB34">
        <f t="shared" si="4"/>
        <v>0</v>
      </c>
      <c r="AC34">
        <f t="shared" si="4"/>
        <v>0</v>
      </c>
      <c r="AD34">
        <f t="shared" si="4"/>
        <v>0</v>
      </c>
      <c r="AE34">
        <f t="shared" si="4"/>
        <v>1</v>
      </c>
      <c r="AF34">
        <f t="shared" si="4"/>
        <v>1</v>
      </c>
      <c r="AG34">
        <f t="shared" si="4"/>
        <v>1</v>
      </c>
      <c r="AH34">
        <f t="shared" si="4"/>
        <v>1</v>
      </c>
      <c r="AI34">
        <f t="shared" si="6"/>
        <v>0</v>
      </c>
      <c r="AJ34">
        <f t="shared" si="6"/>
        <v>0</v>
      </c>
      <c r="AK34">
        <f t="shared" si="6"/>
        <v>0</v>
      </c>
      <c r="AL34">
        <f t="shared" si="6"/>
        <v>0</v>
      </c>
      <c r="AN34" s="7" t="s">
        <v>151</v>
      </c>
      <c r="AO34">
        <v>0</v>
      </c>
      <c r="AP34">
        <v>1</v>
      </c>
      <c r="AQ34">
        <v>1</v>
      </c>
      <c r="AR34">
        <v>1</v>
      </c>
      <c r="AS34">
        <v>1</v>
      </c>
      <c r="AT34">
        <v>1</v>
      </c>
      <c r="AU34">
        <v>1</v>
      </c>
      <c r="AV34">
        <v>1</v>
      </c>
      <c r="AW34">
        <v>1</v>
      </c>
      <c r="AX34">
        <v>0</v>
      </c>
      <c r="AY34">
        <v>1</v>
      </c>
      <c r="AZ34">
        <v>1</v>
      </c>
      <c r="BA34">
        <v>1</v>
      </c>
      <c r="BB34">
        <v>1</v>
      </c>
      <c r="BC34">
        <v>0</v>
      </c>
      <c r="BD34">
        <v>0</v>
      </c>
      <c r="BE34">
        <v>0</v>
      </c>
      <c r="BF34">
        <v>0</v>
      </c>
      <c r="BG34">
        <v>0</v>
      </c>
      <c r="BH34">
        <v>0</v>
      </c>
      <c r="BI34">
        <f t="shared" si="5"/>
        <v>0</v>
      </c>
      <c r="BJ34" cm="1">
        <f t="array" ref="BJ34">IF(MAX(FREQUENCY(IF(AO34:BH34&gt;0,ROW(AO34:BH34)),IF(AO34:BH34&lt;=0,ROW(AO34:BH34))))&gt;=7, 1, 0)</f>
        <v>1</v>
      </c>
    </row>
    <row r="35" spans="1:62" x14ac:dyDescent="0.25">
      <c r="A35" t="s">
        <v>117</v>
      </c>
      <c r="B35" t="s">
        <v>345</v>
      </c>
      <c r="C35" t="s">
        <v>444</v>
      </c>
      <c r="D35" t="s">
        <v>337</v>
      </c>
      <c r="E35" s="9">
        <v>44406</v>
      </c>
      <c r="F35" s="9">
        <v>45501</v>
      </c>
      <c r="G35" s="2">
        <v>161000000</v>
      </c>
      <c r="H35">
        <v>58.3</v>
      </c>
      <c r="I35" t="s">
        <v>445</v>
      </c>
      <c r="J35" t="s">
        <v>445</v>
      </c>
      <c r="K35" s="9">
        <v>45866</v>
      </c>
      <c r="L35" s="2">
        <v>197800000</v>
      </c>
      <c r="M35">
        <v>71.7</v>
      </c>
      <c r="N35" s="2">
        <v>161000000</v>
      </c>
      <c r="O35" s="2">
        <v>161000000</v>
      </c>
      <c r="P35" t="s">
        <v>451</v>
      </c>
      <c r="Q35">
        <f t="shared" si="2"/>
        <v>2021</v>
      </c>
      <c r="R35">
        <f t="shared" si="3"/>
        <v>2024</v>
      </c>
      <c r="S35">
        <f t="shared" si="4"/>
        <v>0</v>
      </c>
      <c r="T35">
        <f t="shared" si="4"/>
        <v>0</v>
      </c>
      <c r="U35">
        <f t="shared" si="4"/>
        <v>0</v>
      </c>
      <c r="V35">
        <f t="shared" si="4"/>
        <v>0</v>
      </c>
      <c r="W35">
        <f t="shared" si="4"/>
        <v>0</v>
      </c>
      <c r="X35">
        <f t="shared" si="4"/>
        <v>0</v>
      </c>
      <c r="Y35">
        <f t="shared" si="4"/>
        <v>0</v>
      </c>
      <c r="Z35">
        <f t="shared" si="4"/>
        <v>0</v>
      </c>
      <c r="AA35">
        <f t="shared" si="4"/>
        <v>0</v>
      </c>
      <c r="AB35">
        <f t="shared" si="4"/>
        <v>0</v>
      </c>
      <c r="AC35">
        <f t="shared" si="4"/>
        <v>0</v>
      </c>
      <c r="AD35">
        <f t="shared" si="4"/>
        <v>0</v>
      </c>
      <c r="AE35">
        <f t="shared" si="4"/>
        <v>0</v>
      </c>
      <c r="AF35">
        <f t="shared" si="4"/>
        <v>0</v>
      </c>
      <c r="AG35">
        <f t="shared" si="4"/>
        <v>0</v>
      </c>
      <c r="AH35">
        <f t="shared" si="4"/>
        <v>0</v>
      </c>
      <c r="AI35">
        <f t="shared" si="6"/>
        <v>1</v>
      </c>
      <c r="AJ35">
        <f t="shared" si="6"/>
        <v>1</v>
      </c>
      <c r="AK35">
        <f t="shared" si="6"/>
        <v>1</v>
      </c>
      <c r="AL35">
        <f t="shared" si="6"/>
        <v>1</v>
      </c>
      <c r="AN35" s="7" t="s">
        <v>152</v>
      </c>
      <c r="AO35">
        <v>0</v>
      </c>
      <c r="AP35">
        <v>0</v>
      </c>
      <c r="AQ35">
        <v>0</v>
      </c>
      <c r="AR35">
        <v>0</v>
      </c>
      <c r="AS35">
        <v>0</v>
      </c>
      <c r="AT35">
        <v>1</v>
      </c>
      <c r="AU35">
        <v>1</v>
      </c>
      <c r="AV35">
        <v>1</v>
      </c>
      <c r="AW35">
        <v>0</v>
      </c>
      <c r="AX35">
        <v>1</v>
      </c>
      <c r="AY35">
        <v>1</v>
      </c>
      <c r="AZ35">
        <v>1</v>
      </c>
      <c r="BA35">
        <v>0</v>
      </c>
      <c r="BB35">
        <v>0</v>
      </c>
      <c r="BC35">
        <v>1</v>
      </c>
      <c r="BD35">
        <v>1</v>
      </c>
      <c r="BE35">
        <v>1</v>
      </c>
      <c r="BF35">
        <v>0</v>
      </c>
      <c r="BG35">
        <v>1</v>
      </c>
      <c r="BH35">
        <v>1</v>
      </c>
      <c r="BI35">
        <f t="shared" si="5"/>
        <v>0</v>
      </c>
      <c r="BJ35" cm="1">
        <f t="array" ref="BJ35">IF(MAX(FREQUENCY(IF(AO35:BH35&gt;0,ROW(AO35:BH35)),IF(AO35:BH35&lt;=0,ROW(AO35:BH35))))&gt;=7, 1, 0)</f>
        <v>1</v>
      </c>
    </row>
    <row r="36" spans="1:62" x14ac:dyDescent="0.25">
      <c r="A36" t="s">
        <v>120</v>
      </c>
      <c r="B36" t="s">
        <v>346</v>
      </c>
      <c r="C36" t="s">
        <v>444</v>
      </c>
      <c r="D36" t="s">
        <v>337</v>
      </c>
      <c r="E36" s="9">
        <v>39073</v>
      </c>
      <c r="F36" s="9">
        <v>40168</v>
      </c>
      <c r="G36" s="2">
        <v>36200000</v>
      </c>
      <c r="H36">
        <v>65</v>
      </c>
      <c r="I36" t="s">
        <v>445</v>
      </c>
      <c r="J36" t="s">
        <v>445</v>
      </c>
      <c r="K36" s="9">
        <v>40423</v>
      </c>
      <c r="L36" s="2">
        <v>69620000</v>
      </c>
      <c r="M36">
        <v>62.5</v>
      </c>
      <c r="N36" s="2">
        <v>69620000</v>
      </c>
      <c r="O36">
        <v>0</v>
      </c>
      <c r="P36" t="s">
        <v>446</v>
      </c>
      <c r="Q36">
        <f t="shared" si="2"/>
        <v>2006</v>
      </c>
      <c r="R36">
        <f t="shared" si="3"/>
        <v>2009</v>
      </c>
      <c r="S36">
        <f t="shared" si="4"/>
        <v>0</v>
      </c>
      <c r="T36">
        <f t="shared" si="4"/>
        <v>1</v>
      </c>
      <c r="U36">
        <f t="shared" si="4"/>
        <v>1</v>
      </c>
      <c r="V36">
        <f t="shared" si="4"/>
        <v>1</v>
      </c>
      <c r="W36">
        <f t="shared" si="4"/>
        <v>1</v>
      </c>
      <c r="X36">
        <f t="shared" si="4"/>
        <v>0</v>
      </c>
      <c r="Y36">
        <f t="shared" si="4"/>
        <v>0</v>
      </c>
      <c r="Z36">
        <f t="shared" si="4"/>
        <v>0</v>
      </c>
      <c r="AA36">
        <f t="shared" si="4"/>
        <v>0</v>
      </c>
      <c r="AB36">
        <f t="shared" si="4"/>
        <v>0</v>
      </c>
      <c r="AC36">
        <f t="shared" si="4"/>
        <v>0</v>
      </c>
      <c r="AD36">
        <f t="shared" si="4"/>
        <v>0</v>
      </c>
      <c r="AE36">
        <f t="shared" si="4"/>
        <v>0</v>
      </c>
      <c r="AF36">
        <f t="shared" si="4"/>
        <v>0</v>
      </c>
      <c r="AG36">
        <f t="shared" si="4"/>
        <v>0</v>
      </c>
      <c r="AH36">
        <f t="shared" si="4"/>
        <v>0</v>
      </c>
      <c r="AI36">
        <f t="shared" si="6"/>
        <v>0</v>
      </c>
      <c r="AJ36">
        <f t="shared" si="6"/>
        <v>0</v>
      </c>
      <c r="AK36">
        <f t="shared" si="6"/>
        <v>0</v>
      </c>
      <c r="AL36">
        <f t="shared" si="6"/>
        <v>0</v>
      </c>
      <c r="AN36" s="7" t="s">
        <v>153</v>
      </c>
      <c r="AO36">
        <v>0</v>
      </c>
      <c r="AP36">
        <v>0</v>
      </c>
      <c r="AQ36">
        <v>0</v>
      </c>
      <c r="AR36">
        <v>0</v>
      </c>
      <c r="AS36">
        <v>0</v>
      </c>
      <c r="AT36">
        <v>0</v>
      </c>
      <c r="AU36">
        <v>1</v>
      </c>
      <c r="AV36">
        <v>1</v>
      </c>
      <c r="AW36">
        <v>1</v>
      </c>
      <c r="AX36">
        <v>1</v>
      </c>
      <c r="AY36">
        <v>1</v>
      </c>
      <c r="AZ36">
        <v>2</v>
      </c>
      <c r="BA36">
        <v>1</v>
      </c>
      <c r="BB36">
        <v>1</v>
      </c>
      <c r="BC36">
        <v>0</v>
      </c>
      <c r="BD36">
        <v>0</v>
      </c>
      <c r="BE36">
        <v>1</v>
      </c>
      <c r="BF36">
        <v>1</v>
      </c>
      <c r="BG36">
        <v>1</v>
      </c>
      <c r="BH36">
        <v>1</v>
      </c>
      <c r="BI36">
        <f t="shared" si="5"/>
        <v>0</v>
      </c>
      <c r="BJ36" cm="1">
        <f t="array" ref="BJ36">IF(MAX(FREQUENCY(IF(AO36:BH36&gt;0,ROW(AO36:BH36)),IF(AO36:BH36&lt;=0,ROW(AO36:BH36))))&gt;=7, 1, 0)</f>
        <v>1</v>
      </c>
    </row>
    <row r="37" spans="1:62" x14ac:dyDescent="0.25">
      <c r="A37" t="s">
        <v>120</v>
      </c>
      <c r="B37" t="s">
        <v>346</v>
      </c>
      <c r="C37" t="s">
        <v>444</v>
      </c>
      <c r="D37" t="s">
        <v>337</v>
      </c>
      <c r="E37" s="9">
        <v>41085</v>
      </c>
      <c r="F37" s="9">
        <v>42179</v>
      </c>
      <c r="G37" s="2">
        <v>41775000</v>
      </c>
      <c r="H37">
        <v>75</v>
      </c>
      <c r="I37" t="s">
        <v>445</v>
      </c>
      <c r="J37" t="s">
        <v>445</v>
      </c>
      <c r="K37" s="9">
        <v>41760</v>
      </c>
      <c r="L37" s="2">
        <v>41775000</v>
      </c>
      <c r="M37">
        <v>37.5</v>
      </c>
      <c r="N37" s="2">
        <v>6963000</v>
      </c>
      <c r="O37">
        <v>0</v>
      </c>
      <c r="P37" t="s">
        <v>446</v>
      </c>
      <c r="Q37">
        <f t="shared" si="2"/>
        <v>2012</v>
      </c>
      <c r="R37">
        <f t="shared" si="3"/>
        <v>2015</v>
      </c>
      <c r="S37">
        <f t="shared" si="4"/>
        <v>0</v>
      </c>
      <c r="T37">
        <f t="shared" si="4"/>
        <v>0</v>
      </c>
      <c r="U37">
        <f t="shared" si="4"/>
        <v>0</v>
      </c>
      <c r="V37">
        <f t="shared" si="4"/>
        <v>0</v>
      </c>
      <c r="W37">
        <f t="shared" si="4"/>
        <v>0</v>
      </c>
      <c r="X37">
        <f t="shared" si="4"/>
        <v>0</v>
      </c>
      <c r="Y37">
        <f t="shared" si="4"/>
        <v>0</v>
      </c>
      <c r="Z37">
        <f t="shared" si="4"/>
        <v>1</v>
      </c>
      <c r="AA37">
        <f t="shared" si="4"/>
        <v>1</v>
      </c>
      <c r="AB37">
        <f t="shared" si="4"/>
        <v>1</v>
      </c>
      <c r="AC37">
        <f t="shared" si="4"/>
        <v>1</v>
      </c>
      <c r="AD37">
        <f t="shared" si="4"/>
        <v>0</v>
      </c>
      <c r="AE37">
        <f t="shared" si="4"/>
        <v>0</v>
      </c>
      <c r="AF37">
        <f t="shared" si="4"/>
        <v>0</v>
      </c>
      <c r="AG37">
        <f t="shared" si="4"/>
        <v>0</v>
      </c>
      <c r="AH37">
        <f t="shared" si="4"/>
        <v>0</v>
      </c>
      <c r="AI37">
        <f t="shared" si="6"/>
        <v>0</v>
      </c>
      <c r="AJ37">
        <f t="shared" si="6"/>
        <v>0</v>
      </c>
      <c r="AK37">
        <f t="shared" si="6"/>
        <v>0</v>
      </c>
      <c r="AL37">
        <f t="shared" si="6"/>
        <v>0</v>
      </c>
      <c r="AN37" s="7" t="s">
        <v>157</v>
      </c>
      <c r="AO37">
        <v>1</v>
      </c>
      <c r="AP37">
        <v>1</v>
      </c>
      <c r="AQ37">
        <v>1</v>
      </c>
      <c r="AR37">
        <v>2</v>
      </c>
      <c r="AS37">
        <v>1</v>
      </c>
      <c r="AT37">
        <v>1</v>
      </c>
      <c r="AU37">
        <v>1</v>
      </c>
      <c r="AV37">
        <v>1</v>
      </c>
      <c r="AW37">
        <v>1</v>
      </c>
      <c r="AX37">
        <v>1</v>
      </c>
      <c r="AY37">
        <v>1</v>
      </c>
      <c r="AZ37">
        <v>1</v>
      </c>
      <c r="BA37">
        <v>1</v>
      </c>
      <c r="BB37">
        <v>1</v>
      </c>
      <c r="BC37">
        <v>0</v>
      </c>
      <c r="BD37">
        <v>0</v>
      </c>
      <c r="BE37">
        <v>0</v>
      </c>
      <c r="BF37">
        <v>0</v>
      </c>
      <c r="BG37">
        <v>0</v>
      </c>
      <c r="BH37">
        <v>0</v>
      </c>
      <c r="BI37">
        <f t="shared" si="5"/>
        <v>0</v>
      </c>
      <c r="BJ37" cm="1">
        <f t="array" ref="BJ37">IF(MAX(FREQUENCY(IF(AO37:BH37&gt;0,ROW(AO37:BH37)),IF(AO37:BH37&lt;=0,ROW(AO37:BH37))))&gt;=7, 1, 0)</f>
        <v>1</v>
      </c>
    </row>
    <row r="38" spans="1:62" x14ac:dyDescent="0.25">
      <c r="A38" t="s">
        <v>120</v>
      </c>
      <c r="B38" t="s">
        <v>346</v>
      </c>
      <c r="C38" t="s">
        <v>444</v>
      </c>
      <c r="D38" t="s">
        <v>337</v>
      </c>
      <c r="E38" s="9">
        <v>42571</v>
      </c>
      <c r="F38" s="9">
        <v>43665</v>
      </c>
      <c r="G38" s="2">
        <v>83550000</v>
      </c>
      <c r="H38">
        <v>75</v>
      </c>
      <c r="I38" t="s">
        <v>445</v>
      </c>
      <c r="J38" t="s">
        <v>445</v>
      </c>
      <c r="K38" s="9">
        <v>43656</v>
      </c>
      <c r="L38" s="2">
        <v>133680000</v>
      </c>
      <c r="M38">
        <v>120</v>
      </c>
      <c r="N38" s="2">
        <v>133680000</v>
      </c>
      <c r="O38" s="2">
        <v>93470000</v>
      </c>
      <c r="P38" t="s">
        <v>446</v>
      </c>
      <c r="Q38">
        <f t="shared" si="2"/>
        <v>2016</v>
      </c>
      <c r="R38">
        <f t="shared" si="3"/>
        <v>2019</v>
      </c>
      <c r="S38">
        <f t="shared" si="4"/>
        <v>0</v>
      </c>
      <c r="T38">
        <f t="shared" si="4"/>
        <v>0</v>
      </c>
      <c r="U38">
        <f t="shared" si="4"/>
        <v>0</v>
      </c>
      <c r="V38">
        <f t="shared" si="4"/>
        <v>0</v>
      </c>
      <c r="W38">
        <f t="shared" si="4"/>
        <v>0</v>
      </c>
      <c r="X38">
        <f t="shared" si="4"/>
        <v>0</v>
      </c>
      <c r="Y38">
        <f t="shared" si="4"/>
        <v>0</v>
      </c>
      <c r="Z38">
        <f t="shared" si="4"/>
        <v>0</v>
      </c>
      <c r="AA38">
        <f t="shared" si="4"/>
        <v>0</v>
      </c>
      <c r="AB38">
        <f t="shared" si="4"/>
        <v>0</v>
      </c>
      <c r="AC38">
        <f t="shared" si="4"/>
        <v>0</v>
      </c>
      <c r="AD38">
        <f t="shared" si="4"/>
        <v>1</v>
      </c>
      <c r="AE38">
        <f t="shared" si="4"/>
        <v>1</v>
      </c>
      <c r="AF38">
        <f t="shared" si="4"/>
        <v>1</v>
      </c>
      <c r="AG38">
        <f t="shared" si="4"/>
        <v>1</v>
      </c>
      <c r="AH38">
        <f t="shared" si="4"/>
        <v>0</v>
      </c>
      <c r="AI38">
        <f t="shared" si="6"/>
        <v>0</v>
      </c>
      <c r="AJ38">
        <f t="shared" si="6"/>
        <v>0</v>
      </c>
      <c r="AK38">
        <f t="shared" si="6"/>
        <v>0</v>
      </c>
      <c r="AL38">
        <f t="shared" si="6"/>
        <v>0</v>
      </c>
      <c r="AN38" s="7" t="s">
        <v>160</v>
      </c>
      <c r="AO38">
        <v>0</v>
      </c>
      <c r="AP38">
        <v>0</v>
      </c>
      <c r="AQ38">
        <v>0</v>
      </c>
      <c r="AR38">
        <v>0</v>
      </c>
      <c r="AS38">
        <v>0</v>
      </c>
      <c r="AT38">
        <v>1</v>
      </c>
      <c r="AU38">
        <v>1</v>
      </c>
      <c r="AV38">
        <v>1</v>
      </c>
      <c r="AW38">
        <v>1</v>
      </c>
      <c r="AX38">
        <v>0</v>
      </c>
      <c r="AY38">
        <v>0</v>
      </c>
      <c r="AZ38">
        <v>0</v>
      </c>
      <c r="BA38">
        <v>0</v>
      </c>
      <c r="BB38">
        <v>0</v>
      </c>
      <c r="BC38">
        <v>0</v>
      </c>
      <c r="BD38">
        <v>0</v>
      </c>
      <c r="BE38">
        <v>0</v>
      </c>
      <c r="BF38">
        <v>0</v>
      </c>
      <c r="BG38">
        <v>0</v>
      </c>
      <c r="BH38">
        <v>0</v>
      </c>
      <c r="BI38">
        <f t="shared" si="5"/>
        <v>0</v>
      </c>
      <c r="BJ38" cm="1">
        <f t="array" ref="BJ38">IF(MAX(FREQUENCY(IF(AO38:BH38&gt;0,ROW(AO38:BH38)),IF(AO38:BH38&lt;=0,ROW(AO38:BH38))))&gt;=7, 1, 0)</f>
        <v>0</v>
      </c>
    </row>
    <row r="39" spans="1:62" x14ac:dyDescent="0.25">
      <c r="A39" t="s">
        <v>120</v>
      </c>
      <c r="B39" t="s">
        <v>346</v>
      </c>
      <c r="C39" t="s">
        <v>444</v>
      </c>
      <c r="D39" t="s">
        <v>337</v>
      </c>
      <c r="E39" s="9">
        <v>43819</v>
      </c>
      <c r="F39" s="9">
        <v>44914</v>
      </c>
      <c r="G39" s="2">
        <v>83550000</v>
      </c>
      <c r="H39">
        <v>75</v>
      </c>
      <c r="I39" t="s">
        <v>445</v>
      </c>
      <c r="J39" t="s">
        <v>445</v>
      </c>
      <c r="K39" s="9">
        <v>44753</v>
      </c>
      <c r="L39" s="2">
        <v>83550000</v>
      </c>
      <c r="M39">
        <v>75</v>
      </c>
      <c r="N39" s="2">
        <v>35808000</v>
      </c>
      <c r="O39" s="2">
        <v>35808000</v>
      </c>
      <c r="P39" t="s">
        <v>446</v>
      </c>
      <c r="Q39">
        <f t="shared" si="2"/>
        <v>2019</v>
      </c>
      <c r="R39">
        <f t="shared" si="3"/>
        <v>2022</v>
      </c>
      <c r="S39">
        <f t="shared" si="4"/>
        <v>0</v>
      </c>
      <c r="T39">
        <f t="shared" si="4"/>
        <v>0</v>
      </c>
      <c r="U39">
        <f t="shared" si="4"/>
        <v>0</v>
      </c>
      <c r="V39">
        <f t="shared" si="4"/>
        <v>0</v>
      </c>
      <c r="W39">
        <f t="shared" si="4"/>
        <v>0</v>
      </c>
      <c r="X39">
        <f t="shared" si="4"/>
        <v>0</v>
      </c>
      <c r="Y39">
        <f t="shared" si="4"/>
        <v>0</v>
      </c>
      <c r="Z39">
        <f t="shared" si="4"/>
        <v>0</v>
      </c>
      <c r="AA39">
        <f t="shared" si="4"/>
        <v>0</v>
      </c>
      <c r="AB39">
        <f t="shared" si="4"/>
        <v>0</v>
      </c>
      <c r="AC39">
        <f t="shared" si="4"/>
        <v>0</v>
      </c>
      <c r="AD39">
        <f t="shared" si="4"/>
        <v>0</v>
      </c>
      <c r="AE39">
        <f t="shared" si="4"/>
        <v>0</v>
      </c>
      <c r="AF39">
        <f t="shared" si="4"/>
        <v>0</v>
      </c>
      <c r="AG39">
        <f t="shared" si="4"/>
        <v>1</v>
      </c>
      <c r="AH39">
        <f t="shared" si="4"/>
        <v>1</v>
      </c>
      <c r="AI39">
        <f t="shared" si="6"/>
        <v>1</v>
      </c>
      <c r="AJ39">
        <f t="shared" si="6"/>
        <v>1</v>
      </c>
      <c r="AK39">
        <f t="shared" si="6"/>
        <v>0</v>
      </c>
      <c r="AL39">
        <f t="shared" si="6"/>
        <v>0</v>
      </c>
      <c r="AN39" s="7" t="s">
        <v>161</v>
      </c>
      <c r="AO39">
        <v>0</v>
      </c>
      <c r="AP39">
        <v>0</v>
      </c>
      <c r="AQ39">
        <v>0</v>
      </c>
      <c r="AR39">
        <v>1</v>
      </c>
      <c r="AS39">
        <v>1</v>
      </c>
      <c r="AT39">
        <v>1</v>
      </c>
      <c r="AU39">
        <v>1</v>
      </c>
      <c r="AV39">
        <v>1</v>
      </c>
      <c r="AW39">
        <v>1</v>
      </c>
      <c r="AX39">
        <v>1</v>
      </c>
      <c r="AY39">
        <v>1</v>
      </c>
      <c r="AZ39">
        <v>0</v>
      </c>
      <c r="BA39">
        <v>0</v>
      </c>
      <c r="BB39">
        <v>0</v>
      </c>
      <c r="BC39">
        <v>1</v>
      </c>
      <c r="BD39">
        <v>1</v>
      </c>
      <c r="BE39">
        <v>1</v>
      </c>
      <c r="BF39">
        <v>1</v>
      </c>
      <c r="BG39">
        <v>1</v>
      </c>
      <c r="BH39">
        <v>1</v>
      </c>
      <c r="BI39">
        <f t="shared" si="5"/>
        <v>0</v>
      </c>
      <c r="BJ39" cm="1">
        <f t="array" ref="BJ39">IF(MAX(FREQUENCY(IF(AO39:BH39&gt;0,ROW(AO39:BH39)),IF(AO39:BH39&lt;=0,ROW(AO39:BH39))))&gt;=7, 1, 0)</f>
        <v>1</v>
      </c>
    </row>
    <row r="40" spans="1:62" x14ac:dyDescent="0.25">
      <c r="A40" t="s">
        <v>120</v>
      </c>
      <c r="B40" t="s">
        <v>346</v>
      </c>
      <c r="C40" t="s">
        <v>444</v>
      </c>
      <c r="D40" t="s">
        <v>337</v>
      </c>
      <c r="E40" s="9">
        <v>45043</v>
      </c>
      <c r="F40" s="9">
        <v>46199</v>
      </c>
      <c r="G40" s="2">
        <v>141680000</v>
      </c>
      <c r="H40">
        <v>127.2</v>
      </c>
      <c r="I40" t="s">
        <v>445</v>
      </c>
      <c r="J40" t="s">
        <v>445</v>
      </c>
      <c r="K40" s="9">
        <v>46199</v>
      </c>
      <c r="L40" s="2">
        <v>147480000</v>
      </c>
      <c r="M40">
        <v>132.4</v>
      </c>
      <c r="N40" s="2">
        <v>49070000</v>
      </c>
      <c r="O40" s="2">
        <v>49070000</v>
      </c>
      <c r="P40" t="s">
        <v>451</v>
      </c>
      <c r="Q40">
        <f t="shared" si="2"/>
        <v>2023</v>
      </c>
      <c r="R40">
        <f t="shared" si="3"/>
        <v>2024</v>
      </c>
      <c r="S40">
        <f t="shared" si="4"/>
        <v>0</v>
      </c>
      <c r="T40">
        <f t="shared" si="4"/>
        <v>0</v>
      </c>
      <c r="U40">
        <f t="shared" ref="U40:AJ55" si="7">IF(AND(U$10 &gt;= $Q40, U$10 &lt;= $R40), 1, 0)</f>
        <v>0</v>
      </c>
      <c r="V40">
        <f t="shared" si="7"/>
        <v>0</v>
      </c>
      <c r="W40">
        <f t="shared" si="7"/>
        <v>0</v>
      </c>
      <c r="X40">
        <f t="shared" si="7"/>
        <v>0</v>
      </c>
      <c r="Y40">
        <f t="shared" si="7"/>
        <v>0</v>
      </c>
      <c r="Z40">
        <f t="shared" si="7"/>
        <v>0</v>
      </c>
      <c r="AA40">
        <f t="shared" si="7"/>
        <v>0</v>
      </c>
      <c r="AB40">
        <f t="shared" si="7"/>
        <v>0</v>
      </c>
      <c r="AC40">
        <f t="shared" si="7"/>
        <v>0</v>
      </c>
      <c r="AD40">
        <f t="shared" si="7"/>
        <v>0</v>
      </c>
      <c r="AE40">
        <f t="shared" si="7"/>
        <v>0</v>
      </c>
      <c r="AF40">
        <f t="shared" si="7"/>
        <v>0</v>
      </c>
      <c r="AG40">
        <f t="shared" si="7"/>
        <v>0</v>
      </c>
      <c r="AH40">
        <f t="shared" si="7"/>
        <v>0</v>
      </c>
      <c r="AI40">
        <f t="shared" si="7"/>
        <v>0</v>
      </c>
      <c r="AJ40">
        <f t="shared" si="7"/>
        <v>0</v>
      </c>
      <c r="AK40">
        <f t="shared" si="6"/>
        <v>1</v>
      </c>
      <c r="AL40">
        <f t="shared" si="6"/>
        <v>1</v>
      </c>
      <c r="AN40" s="7" t="s">
        <v>162</v>
      </c>
      <c r="AO40">
        <v>0</v>
      </c>
      <c r="AP40">
        <v>1</v>
      </c>
      <c r="AQ40">
        <v>1</v>
      </c>
      <c r="AR40">
        <v>1</v>
      </c>
      <c r="AS40">
        <v>1</v>
      </c>
      <c r="AT40">
        <v>0</v>
      </c>
      <c r="AU40">
        <v>0</v>
      </c>
      <c r="AV40">
        <v>0</v>
      </c>
      <c r="AW40">
        <v>0</v>
      </c>
      <c r="AX40">
        <v>0</v>
      </c>
      <c r="AY40">
        <v>0</v>
      </c>
      <c r="AZ40">
        <v>1</v>
      </c>
      <c r="BA40">
        <v>1</v>
      </c>
      <c r="BB40">
        <v>1</v>
      </c>
      <c r="BC40">
        <v>1</v>
      </c>
      <c r="BD40">
        <v>0</v>
      </c>
      <c r="BE40">
        <v>1</v>
      </c>
      <c r="BF40">
        <v>1</v>
      </c>
      <c r="BG40">
        <v>1</v>
      </c>
      <c r="BH40">
        <v>2</v>
      </c>
      <c r="BI40">
        <f t="shared" si="5"/>
        <v>0</v>
      </c>
      <c r="BJ40" cm="1">
        <f t="array" ref="BJ40">IF(MAX(FREQUENCY(IF(AO40:BH40&gt;0,ROW(AO40:BH40)),IF(AO40:BH40&lt;=0,ROW(AO40:BH40))))&gt;=7, 1, 0)</f>
        <v>1</v>
      </c>
    </row>
    <row r="41" spans="1:62" x14ac:dyDescent="0.25">
      <c r="A41" t="s">
        <v>121</v>
      </c>
      <c r="B41" t="s">
        <v>347</v>
      </c>
      <c r="C41" t="s">
        <v>444</v>
      </c>
      <c r="D41" t="s">
        <v>337</v>
      </c>
      <c r="E41" s="9">
        <v>38399</v>
      </c>
      <c r="F41" s="9">
        <v>39493</v>
      </c>
      <c r="G41" s="2">
        <v>25200000</v>
      </c>
      <c r="H41">
        <v>45</v>
      </c>
      <c r="I41" t="s">
        <v>445</v>
      </c>
      <c r="J41" t="s">
        <v>445</v>
      </c>
      <c r="K41" s="9">
        <v>39599</v>
      </c>
      <c r="L41" s="2">
        <v>25200000</v>
      </c>
      <c r="M41">
        <v>18</v>
      </c>
      <c r="N41" s="2">
        <v>4200000</v>
      </c>
      <c r="O41">
        <v>0</v>
      </c>
      <c r="P41" t="s">
        <v>446</v>
      </c>
      <c r="Q41">
        <f t="shared" si="2"/>
        <v>2005</v>
      </c>
      <c r="R41">
        <f t="shared" si="3"/>
        <v>2008</v>
      </c>
      <c r="S41">
        <f t="shared" ref="S41:AH56" si="8">IF(AND(S$10 &gt;= $Q41, S$10 &lt;= $R41), 1, 0)</f>
        <v>1</v>
      </c>
      <c r="T41">
        <f t="shared" si="8"/>
        <v>1</v>
      </c>
      <c r="U41">
        <f t="shared" si="8"/>
        <v>1</v>
      </c>
      <c r="V41">
        <f t="shared" si="8"/>
        <v>1</v>
      </c>
      <c r="W41">
        <f t="shared" si="8"/>
        <v>0</v>
      </c>
      <c r="X41">
        <f t="shared" si="8"/>
        <v>0</v>
      </c>
      <c r="Y41">
        <f t="shared" si="8"/>
        <v>0</v>
      </c>
      <c r="Z41">
        <f t="shared" si="8"/>
        <v>0</v>
      </c>
      <c r="AA41">
        <f t="shared" si="8"/>
        <v>0</v>
      </c>
      <c r="AB41">
        <f t="shared" si="8"/>
        <v>0</v>
      </c>
      <c r="AC41">
        <f t="shared" si="8"/>
        <v>0</v>
      </c>
      <c r="AD41">
        <f t="shared" si="8"/>
        <v>0</v>
      </c>
      <c r="AE41">
        <f t="shared" si="8"/>
        <v>0</v>
      </c>
      <c r="AF41">
        <f t="shared" si="8"/>
        <v>0</v>
      </c>
      <c r="AG41">
        <f t="shared" si="8"/>
        <v>0</v>
      </c>
      <c r="AH41">
        <f t="shared" si="8"/>
        <v>0</v>
      </c>
      <c r="AI41">
        <f t="shared" si="7"/>
        <v>0</v>
      </c>
      <c r="AJ41">
        <f t="shared" si="7"/>
        <v>0</v>
      </c>
      <c r="AK41">
        <f t="shared" si="6"/>
        <v>0</v>
      </c>
      <c r="AL41">
        <f t="shared" si="6"/>
        <v>0</v>
      </c>
      <c r="AN41" s="7" t="s">
        <v>163</v>
      </c>
      <c r="AO41">
        <v>1</v>
      </c>
      <c r="AP41">
        <v>1</v>
      </c>
      <c r="AQ41">
        <v>1</v>
      </c>
      <c r="AR41">
        <v>2</v>
      </c>
      <c r="AS41">
        <v>1</v>
      </c>
      <c r="AT41">
        <v>1</v>
      </c>
      <c r="AU41">
        <v>1</v>
      </c>
      <c r="AV41">
        <v>2</v>
      </c>
      <c r="AW41">
        <v>2</v>
      </c>
      <c r="AX41">
        <v>1</v>
      </c>
      <c r="AY41">
        <v>1</v>
      </c>
      <c r="AZ41">
        <v>0</v>
      </c>
      <c r="BA41">
        <v>0</v>
      </c>
      <c r="BB41">
        <v>1</v>
      </c>
      <c r="BC41">
        <v>1</v>
      </c>
      <c r="BD41">
        <v>1</v>
      </c>
      <c r="BE41">
        <v>1</v>
      </c>
      <c r="BF41">
        <v>0</v>
      </c>
      <c r="BG41">
        <v>1</v>
      </c>
      <c r="BH41">
        <v>1</v>
      </c>
      <c r="BI41">
        <f t="shared" si="5"/>
        <v>1</v>
      </c>
      <c r="BJ41" cm="1">
        <f t="array" ref="BJ41">IF(MAX(FREQUENCY(IF(AO41:BH41&gt;0,ROW(AO41:BH41)),IF(AO41:BH41&lt;=0,ROW(AO41:BH41))))&gt;=7, 1, 0)</f>
        <v>1</v>
      </c>
    </row>
    <row r="42" spans="1:62" x14ac:dyDescent="0.25">
      <c r="A42" t="s">
        <v>121</v>
      </c>
      <c r="B42" t="s">
        <v>347</v>
      </c>
      <c r="C42" t="s">
        <v>444</v>
      </c>
      <c r="D42" t="s">
        <v>337</v>
      </c>
      <c r="E42" s="9">
        <v>41852</v>
      </c>
      <c r="F42" s="9">
        <v>42947</v>
      </c>
      <c r="G42" s="2">
        <v>79920000</v>
      </c>
      <c r="H42">
        <v>120</v>
      </c>
      <c r="I42" t="s">
        <v>445</v>
      </c>
      <c r="J42" t="s">
        <v>445</v>
      </c>
      <c r="K42" s="9">
        <v>42915</v>
      </c>
      <c r="L42" s="2">
        <v>140200000</v>
      </c>
      <c r="M42">
        <v>100</v>
      </c>
      <c r="N42" s="2">
        <v>98340000</v>
      </c>
      <c r="O42" s="2">
        <v>23891000</v>
      </c>
      <c r="P42" t="s">
        <v>446</v>
      </c>
      <c r="Q42">
        <f t="shared" si="2"/>
        <v>2014</v>
      </c>
      <c r="R42">
        <f t="shared" si="3"/>
        <v>2017</v>
      </c>
      <c r="S42">
        <f t="shared" si="8"/>
        <v>0</v>
      </c>
      <c r="T42">
        <f t="shared" si="8"/>
        <v>0</v>
      </c>
      <c r="U42">
        <f t="shared" si="8"/>
        <v>0</v>
      </c>
      <c r="V42">
        <f t="shared" si="8"/>
        <v>0</v>
      </c>
      <c r="W42">
        <f t="shared" si="8"/>
        <v>0</v>
      </c>
      <c r="X42">
        <f t="shared" si="8"/>
        <v>0</v>
      </c>
      <c r="Y42">
        <f t="shared" si="8"/>
        <v>0</v>
      </c>
      <c r="Z42">
        <f t="shared" si="8"/>
        <v>0</v>
      </c>
      <c r="AA42">
        <f t="shared" si="8"/>
        <v>0</v>
      </c>
      <c r="AB42">
        <f t="shared" si="8"/>
        <v>1</v>
      </c>
      <c r="AC42">
        <f t="shared" si="8"/>
        <v>1</v>
      </c>
      <c r="AD42">
        <f t="shared" si="8"/>
        <v>1</v>
      </c>
      <c r="AE42">
        <f t="shared" si="8"/>
        <v>1</v>
      </c>
      <c r="AF42">
        <f t="shared" si="8"/>
        <v>0</v>
      </c>
      <c r="AG42">
        <f t="shared" si="8"/>
        <v>0</v>
      </c>
      <c r="AH42">
        <f t="shared" si="8"/>
        <v>0</v>
      </c>
      <c r="AI42">
        <f t="shared" si="7"/>
        <v>0</v>
      </c>
      <c r="AJ42">
        <f t="shared" si="7"/>
        <v>0</v>
      </c>
      <c r="AK42">
        <f t="shared" si="6"/>
        <v>0</v>
      </c>
      <c r="AL42">
        <f t="shared" si="6"/>
        <v>0</v>
      </c>
      <c r="AN42" s="7" t="s">
        <v>165</v>
      </c>
      <c r="AO42">
        <v>0</v>
      </c>
      <c r="AP42">
        <v>0</v>
      </c>
      <c r="AQ42">
        <v>0</v>
      </c>
      <c r="AR42">
        <v>0</v>
      </c>
      <c r="AS42">
        <v>1</v>
      </c>
      <c r="AT42">
        <v>1</v>
      </c>
      <c r="AU42">
        <v>1</v>
      </c>
      <c r="AV42">
        <v>0</v>
      </c>
      <c r="AW42">
        <v>0</v>
      </c>
      <c r="AX42">
        <v>0</v>
      </c>
      <c r="AY42">
        <v>0</v>
      </c>
      <c r="AZ42">
        <v>0</v>
      </c>
      <c r="BA42">
        <v>0</v>
      </c>
      <c r="BB42">
        <v>0</v>
      </c>
      <c r="BC42">
        <v>0</v>
      </c>
      <c r="BD42">
        <v>0</v>
      </c>
      <c r="BE42">
        <v>0</v>
      </c>
      <c r="BF42">
        <v>0</v>
      </c>
      <c r="BG42">
        <v>0</v>
      </c>
      <c r="BH42">
        <v>0</v>
      </c>
      <c r="BI42">
        <f t="shared" si="5"/>
        <v>0</v>
      </c>
      <c r="BJ42" cm="1">
        <f t="array" ref="BJ42">IF(MAX(FREQUENCY(IF(AO42:BH42&gt;0,ROW(AO42:BH42)),IF(AO42:BH42&lt;=0,ROW(AO42:BH42))))&gt;=7, 1, 0)</f>
        <v>0</v>
      </c>
    </row>
    <row r="43" spans="1:62" x14ac:dyDescent="0.25">
      <c r="A43" t="s">
        <v>121</v>
      </c>
      <c r="B43" t="s">
        <v>347</v>
      </c>
      <c r="C43" t="s">
        <v>444</v>
      </c>
      <c r="D43" t="s">
        <v>337</v>
      </c>
      <c r="E43" s="9">
        <v>42916</v>
      </c>
      <c r="F43" s="9">
        <v>44011</v>
      </c>
      <c r="G43" s="2">
        <v>224320000</v>
      </c>
      <c r="H43">
        <v>160</v>
      </c>
      <c r="I43" t="s">
        <v>445</v>
      </c>
      <c r="J43" t="s">
        <v>445</v>
      </c>
      <c r="K43" s="9">
        <v>44034</v>
      </c>
      <c r="L43" s="2">
        <v>224320000</v>
      </c>
      <c r="M43">
        <v>160</v>
      </c>
      <c r="N43" s="2">
        <v>196280000</v>
      </c>
      <c r="O43" s="2">
        <v>157725000</v>
      </c>
      <c r="P43" t="s">
        <v>446</v>
      </c>
      <c r="Q43">
        <f t="shared" si="2"/>
        <v>2017</v>
      </c>
      <c r="R43">
        <f t="shared" si="3"/>
        <v>2020</v>
      </c>
      <c r="S43">
        <f t="shared" si="8"/>
        <v>0</v>
      </c>
      <c r="T43">
        <f t="shared" si="8"/>
        <v>0</v>
      </c>
      <c r="U43">
        <f t="shared" si="8"/>
        <v>0</v>
      </c>
      <c r="V43">
        <f t="shared" si="8"/>
        <v>0</v>
      </c>
      <c r="W43">
        <f t="shared" si="8"/>
        <v>0</v>
      </c>
      <c r="X43">
        <f t="shared" si="8"/>
        <v>0</v>
      </c>
      <c r="Y43">
        <f t="shared" si="8"/>
        <v>0</v>
      </c>
      <c r="Z43">
        <f t="shared" si="8"/>
        <v>0</v>
      </c>
      <c r="AA43">
        <f t="shared" si="8"/>
        <v>0</v>
      </c>
      <c r="AB43">
        <f t="shared" si="8"/>
        <v>0</v>
      </c>
      <c r="AC43">
        <f t="shared" si="8"/>
        <v>0</v>
      </c>
      <c r="AD43">
        <f t="shared" si="8"/>
        <v>0</v>
      </c>
      <c r="AE43">
        <f t="shared" si="8"/>
        <v>1</v>
      </c>
      <c r="AF43">
        <f t="shared" si="8"/>
        <v>1</v>
      </c>
      <c r="AG43">
        <f t="shared" si="8"/>
        <v>1</v>
      </c>
      <c r="AH43">
        <f t="shared" si="8"/>
        <v>1</v>
      </c>
      <c r="AI43">
        <f t="shared" si="7"/>
        <v>0</v>
      </c>
      <c r="AJ43">
        <f t="shared" si="7"/>
        <v>0</v>
      </c>
      <c r="AK43">
        <f t="shared" si="6"/>
        <v>0</v>
      </c>
      <c r="AL43">
        <f t="shared" si="6"/>
        <v>0</v>
      </c>
      <c r="AN43" s="7" t="s">
        <v>166</v>
      </c>
      <c r="AO43">
        <v>0</v>
      </c>
      <c r="AP43">
        <v>0</v>
      </c>
      <c r="AQ43">
        <v>0</v>
      </c>
      <c r="AR43">
        <v>1</v>
      </c>
      <c r="AS43">
        <v>1</v>
      </c>
      <c r="AT43">
        <v>1</v>
      </c>
      <c r="AU43">
        <v>2</v>
      </c>
      <c r="AV43">
        <v>1</v>
      </c>
      <c r="AW43">
        <v>2</v>
      </c>
      <c r="AX43">
        <v>2</v>
      </c>
      <c r="AY43">
        <v>1</v>
      </c>
      <c r="AZ43">
        <v>1</v>
      </c>
      <c r="BA43">
        <v>0</v>
      </c>
      <c r="BB43">
        <v>0</v>
      </c>
      <c r="BC43">
        <v>1</v>
      </c>
      <c r="BD43">
        <v>1</v>
      </c>
      <c r="BE43">
        <v>1</v>
      </c>
      <c r="BF43">
        <v>1</v>
      </c>
      <c r="BG43">
        <v>0</v>
      </c>
      <c r="BH43">
        <v>0</v>
      </c>
      <c r="BI43">
        <f t="shared" si="5"/>
        <v>0</v>
      </c>
      <c r="BJ43" cm="1">
        <f t="array" ref="BJ43">IF(MAX(FREQUENCY(IF(AO43:BH43&gt;0,ROW(AO43:BH43)),IF(AO43:BH43&lt;=0,ROW(AO43:BH43))))&gt;=7, 1, 0)</f>
        <v>1</v>
      </c>
    </row>
    <row r="44" spans="1:62" x14ac:dyDescent="0.25">
      <c r="A44" t="s">
        <v>121</v>
      </c>
      <c r="B44" t="s">
        <v>347</v>
      </c>
      <c r="C44" t="s">
        <v>444</v>
      </c>
      <c r="D44" t="s">
        <v>337</v>
      </c>
      <c r="E44" s="9">
        <v>44540</v>
      </c>
      <c r="F44" s="9">
        <v>45635</v>
      </c>
      <c r="G44" s="2">
        <v>392560000</v>
      </c>
      <c r="H44">
        <v>280</v>
      </c>
      <c r="I44" t="s">
        <v>445</v>
      </c>
      <c r="J44" t="s">
        <v>445</v>
      </c>
      <c r="K44" s="9">
        <v>45464</v>
      </c>
      <c r="L44" s="2">
        <v>392560000</v>
      </c>
      <c r="M44">
        <v>280</v>
      </c>
      <c r="N44" s="2">
        <v>168240000</v>
      </c>
      <c r="O44" s="2">
        <v>168240000</v>
      </c>
      <c r="P44" t="s">
        <v>446</v>
      </c>
      <c r="Q44">
        <f t="shared" si="2"/>
        <v>2021</v>
      </c>
      <c r="R44">
        <f t="shared" si="3"/>
        <v>2024</v>
      </c>
      <c r="S44">
        <f t="shared" si="8"/>
        <v>0</v>
      </c>
      <c r="T44">
        <f t="shared" si="8"/>
        <v>0</v>
      </c>
      <c r="U44">
        <f t="shared" si="8"/>
        <v>0</v>
      </c>
      <c r="V44">
        <f t="shared" si="8"/>
        <v>0</v>
      </c>
      <c r="W44">
        <f t="shared" si="8"/>
        <v>0</v>
      </c>
      <c r="X44">
        <f t="shared" si="8"/>
        <v>0</v>
      </c>
      <c r="Y44">
        <f t="shared" si="8"/>
        <v>0</v>
      </c>
      <c r="Z44">
        <f t="shared" si="8"/>
        <v>0</v>
      </c>
      <c r="AA44">
        <f t="shared" si="8"/>
        <v>0</v>
      </c>
      <c r="AB44">
        <f t="shared" si="8"/>
        <v>0</v>
      </c>
      <c r="AC44">
        <f t="shared" si="8"/>
        <v>0</v>
      </c>
      <c r="AD44">
        <f t="shared" si="8"/>
        <v>0</v>
      </c>
      <c r="AE44">
        <f t="shared" si="8"/>
        <v>0</v>
      </c>
      <c r="AF44">
        <f t="shared" si="8"/>
        <v>0</v>
      </c>
      <c r="AG44">
        <f t="shared" si="8"/>
        <v>0</v>
      </c>
      <c r="AH44">
        <f t="shared" si="8"/>
        <v>0</v>
      </c>
      <c r="AI44">
        <f t="shared" si="7"/>
        <v>1</v>
      </c>
      <c r="AJ44">
        <f t="shared" si="7"/>
        <v>1</v>
      </c>
      <c r="AK44">
        <f t="shared" si="6"/>
        <v>1</v>
      </c>
      <c r="AL44">
        <f t="shared" si="6"/>
        <v>1</v>
      </c>
      <c r="AN44" s="7" t="s">
        <v>171</v>
      </c>
      <c r="AO44">
        <v>0</v>
      </c>
      <c r="AP44">
        <v>1</v>
      </c>
      <c r="AQ44">
        <v>1</v>
      </c>
      <c r="AR44">
        <v>1</v>
      </c>
      <c r="AS44">
        <v>1</v>
      </c>
      <c r="AT44">
        <v>1</v>
      </c>
      <c r="AU44">
        <v>1</v>
      </c>
      <c r="AV44">
        <v>1</v>
      </c>
      <c r="AW44">
        <v>1</v>
      </c>
      <c r="AX44">
        <v>0</v>
      </c>
      <c r="AY44">
        <v>0</v>
      </c>
      <c r="AZ44">
        <v>0</v>
      </c>
      <c r="BA44">
        <v>1</v>
      </c>
      <c r="BB44">
        <v>1</v>
      </c>
      <c r="BC44">
        <v>1</v>
      </c>
      <c r="BD44">
        <v>1</v>
      </c>
      <c r="BE44">
        <v>0</v>
      </c>
      <c r="BF44">
        <v>0</v>
      </c>
      <c r="BG44">
        <v>1</v>
      </c>
      <c r="BH44">
        <v>1</v>
      </c>
      <c r="BI44">
        <f t="shared" si="5"/>
        <v>0</v>
      </c>
      <c r="BJ44" cm="1">
        <f t="array" ref="BJ44">IF(MAX(FREQUENCY(IF(AO44:BH44&gt;0,ROW(AO44:BH44)),IF(AO44:BH44&lt;=0,ROW(AO44:BH44))))&gt;=7, 1, 0)</f>
        <v>1</v>
      </c>
    </row>
    <row r="45" spans="1:62" x14ac:dyDescent="0.25">
      <c r="A45" t="s">
        <v>125</v>
      </c>
      <c r="B45" t="s">
        <v>348</v>
      </c>
      <c r="C45" t="s">
        <v>444</v>
      </c>
      <c r="D45" t="s">
        <v>337</v>
      </c>
      <c r="E45" s="9">
        <v>40077</v>
      </c>
      <c r="F45" s="9">
        <v>41172</v>
      </c>
      <c r="G45" s="2">
        <v>13572500</v>
      </c>
      <c r="H45">
        <v>152.5</v>
      </c>
      <c r="I45" t="s">
        <v>445</v>
      </c>
      <c r="J45" t="s">
        <v>445</v>
      </c>
      <c r="K45" s="9">
        <v>41631</v>
      </c>
      <c r="L45" s="2">
        <v>13572500</v>
      </c>
      <c r="M45">
        <v>76.3</v>
      </c>
      <c r="N45" s="2">
        <v>13572500</v>
      </c>
      <c r="O45">
        <v>0</v>
      </c>
      <c r="P45" t="s">
        <v>446</v>
      </c>
      <c r="Q45">
        <f t="shared" si="2"/>
        <v>2009</v>
      </c>
      <c r="R45">
        <f t="shared" si="3"/>
        <v>2012</v>
      </c>
      <c r="S45">
        <f t="shared" si="8"/>
        <v>0</v>
      </c>
      <c r="T45">
        <f t="shared" si="8"/>
        <v>0</v>
      </c>
      <c r="U45">
        <f t="shared" si="8"/>
        <v>0</v>
      </c>
      <c r="V45">
        <f t="shared" si="8"/>
        <v>0</v>
      </c>
      <c r="W45">
        <f t="shared" si="8"/>
        <v>1</v>
      </c>
      <c r="X45">
        <f t="shared" si="8"/>
        <v>1</v>
      </c>
      <c r="Y45">
        <f t="shared" si="8"/>
        <v>1</v>
      </c>
      <c r="Z45">
        <f t="shared" si="8"/>
        <v>1</v>
      </c>
      <c r="AA45">
        <f t="shared" si="8"/>
        <v>0</v>
      </c>
      <c r="AB45">
        <f t="shared" si="8"/>
        <v>0</v>
      </c>
      <c r="AC45">
        <f t="shared" si="8"/>
        <v>0</v>
      </c>
      <c r="AD45">
        <f t="shared" si="8"/>
        <v>0</v>
      </c>
      <c r="AE45">
        <f t="shared" si="8"/>
        <v>0</v>
      </c>
      <c r="AF45">
        <f t="shared" si="8"/>
        <v>0</v>
      </c>
      <c r="AG45">
        <f t="shared" si="8"/>
        <v>0</v>
      </c>
      <c r="AH45">
        <f t="shared" si="8"/>
        <v>0</v>
      </c>
      <c r="AI45">
        <f t="shared" si="7"/>
        <v>0</v>
      </c>
      <c r="AJ45">
        <f t="shared" si="7"/>
        <v>0</v>
      </c>
      <c r="AK45">
        <f t="shared" si="6"/>
        <v>0</v>
      </c>
      <c r="AL45">
        <f t="shared" si="6"/>
        <v>0</v>
      </c>
      <c r="AN45" s="7" t="s">
        <v>374</v>
      </c>
      <c r="AO45">
        <v>0</v>
      </c>
      <c r="AP45">
        <v>1</v>
      </c>
      <c r="AQ45">
        <v>1</v>
      </c>
      <c r="AR45">
        <v>1</v>
      </c>
      <c r="AS45">
        <v>1</v>
      </c>
      <c r="AT45">
        <v>1</v>
      </c>
      <c r="AU45">
        <v>1</v>
      </c>
      <c r="AV45">
        <v>1</v>
      </c>
      <c r="AW45">
        <v>1</v>
      </c>
      <c r="AX45">
        <v>0</v>
      </c>
      <c r="AY45">
        <v>0</v>
      </c>
      <c r="AZ45">
        <v>1</v>
      </c>
      <c r="BA45">
        <v>1</v>
      </c>
      <c r="BB45">
        <v>1</v>
      </c>
      <c r="BC45">
        <v>1</v>
      </c>
      <c r="BD45">
        <v>0</v>
      </c>
      <c r="BE45">
        <v>1</v>
      </c>
      <c r="BF45">
        <v>1</v>
      </c>
      <c r="BG45">
        <v>1</v>
      </c>
      <c r="BH45">
        <v>1</v>
      </c>
      <c r="BI45">
        <f t="shared" si="5"/>
        <v>1</v>
      </c>
      <c r="BJ45" cm="1">
        <f t="array" ref="BJ45">IF(MAX(FREQUENCY(IF(AO45:BH45&gt;0,ROW(AO45:BH45)),IF(AO45:BH45&lt;=0,ROW(AO45:BH45))))&gt;=7, 1, 0)</f>
        <v>1</v>
      </c>
    </row>
    <row r="46" spans="1:62" x14ac:dyDescent="0.25">
      <c r="A46" t="s">
        <v>125</v>
      </c>
      <c r="B46" t="s">
        <v>348</v>
      </c>
      <c r="C46" t="s">
        <v>444</v>
      </c>
      <c r="D46" t="s">
        <v>337</v>
      </c>
      <c r="E46" s="9">
        <v>45078</v>
      </c>
      <c r="F46" s="9">
        <v>46538</v>
      </c>
      <c r="G46" s="2">
        <v>32040000</v>
      </c>
      <c r="H46">
        <v>180</v>
      </c>
      <c r="I46" t="s">
        <v>445</v>
      </c>
      <c r="J46" t="s">
        <v>445</v>
      </c>
      <c r="K46" s="9">
        <v>46538</v>
      </c>
      <c r="L46" s="2">
        <v>32040000</v>
      </c>
      <c r="M46">
        <v>180</v>
      </c>
      <c r="N46" s="2">
        <v>14240000</v>
      </c>
      <c r="O46" s="2">
        <v>14240000</v>
      </c>
      <c r="P46" t="s">
        <v>451</v>
      </c>
      <c r="Q46">
        <f t="shared" si="2"/>
        <v>2023</v>
      </c>
      <c r="R46">
        <f t="shared" si="3"/>
        <v>2024</v>
      </c>
      <c r="S46">
        <f t="shared" si="8"/>
        <v>0</v>
      </c>
      <c r="T46">
        <f t="shared" si="8"/>
        <v>0</v>
      </c>
      <c r="U46">
        <f t="shared" si="8"/>
        <v>0</v>
      </c>
      <c r="V46">
        <f t="shared" si="8"/>
        <v>0</v>
      </c>
      <c r="W46">
        <f t="shared" si="8"/>
        <v>0</v>
      </c>
      <c r="X46">
        <f t="shared" si="8"/>
        <v>0</v>
      </c>
      <c r="Y46">
        <f t="shared" si="8"/>
        <v>0</v>
      </c>
      <c r="Z46">
        <f t="shared" si="8"/>
        <v>0</v>
      </c>
      <c r="AA46">
        <f t="shared" si="8"/>
        <v>0</v>
      </c>
      <c r="AB46">
        <f t="shared" si="8"/>
        <v>0</v>
      </c>
      <c r="AC46">
        <f t="shared" si="8"/>
        <v>0</v>
      </c>
      <c r="AD46">
        <f t="shared" si="8"/>
        <v>0</v>
      </c>
      <c r="AE46">
        <f t="shared" si="8"/>
        <v>0</v>
      </c>
      <c r="AF46">
        <f t="shared" si="8"/>
        <v>0</v>
      </c>
      <c r="AG46">
        <f t="shared" si="8"/>
        <v>0</v>
      </c>
      <c r="AH46">
        <f t="shared" si="8"/>
        <v>0</v>
      </c>
      <c r="AI46">
        <f t="shared" si="7"/>
        <v>0</v>
      </c>
      <c r="AJ46">
        <f t="shared" si="7"/>
        <v>0</v>
      </c>
      <c r="AK46">
        <f t="shared" si="6"/>
        <v>1</v>
      </c>
      <c r="AL46">
        <f t="shared" si="6"/>
        <v>1</v>
      </c>
      <c r="AN46" s="7" t="s">
        <v>175</v>
      </c>
      <c r="AO46">
        <v>0</v>
      </c>
      <c r="AP46">
        <v>0</v>
      </c>
      <c r="AQ46">
        <v>0</v>
      </c>
      <c r="AR46">
        <v>0</v>
      </c>
      <c r="AS46">
        <v>1</v>
      </c>
      <c r="AT46">
        <v>1</v>
      </c>
      <c r="AU46">
        <v>0</v>
      </c>
      <c r="AV46">
        <v>0</v>
      </c>
      <c r="AW46">
        <v>0</v>
      </c>
      <c r="AX46">
        <v>0</v>
      </c>
      <c r="AY46">
        <v>1</v>
      </c>
      <c r="AZ46">
        <v>1</v>
      </c>
      <c r="BA46">
        <v>1</v>
      </c>
      <c r="BB46">
        <v>0</v>
      </c>
      <c r="BC46">
        <v>0</v>
      </c>
      <c r="BD46">
        <v>0</v>
      </c>
      <c r="BE46">
        <v>0</v>
      </c>
      <c r="BF46">
        <v>1</v>
      </c>
      <c r="BG46">
        <v>1</v>
      </c>
      <c r="BH46">
        <v>1</v>
      </c>
      <c r="BI46">
        <f t="shared" si="5"/>
        <v>0</v>
      </c>
      <c r="BJ46" cm="1">
        <f t="array" ref="BJ46">IF(MAX(FREQUENCY(IF(AO46:BH46&gt;0,ROW(AO46:BH46)),IF(AO46:BH46&lt;=0,ROW(AO46:BH46))))&gt;=7, 1, 0)</f>
        <v>1</v>
      </c>
    </row>
    <row r="47" spans="1:62" x14ac:dyDescent="0.25">
      <c r="A47" t="s">
        <v>131</v>
      </c>
      <c r="B47" t="s">
        <v>349</v>
      </c>
      <c r="C47" t="s">
        <v>444</v>
      </c>
      <c r="D47" t="s">
        <v>337</v>
      </c>
      <c r="E47" s="9">
        <v>40158</v>
      </c>
      <c r="F47" s="9">
        <v>41253</v>
      </c>
      <c r="G47" s="2">
        <v>346450000</v>
      </c>
      <c r="H47">
        <v>65</v>
      </c>
      <c r="I47" t="s">
        <v>445</v>
      </c>
      <c r="J47" t="s">
        <v>445</v>
      </c>
      <c r="K47" s="9">
        <v>41253</v>
      </c>
      <c r="L47" s="2">
        <v>346450000</v>
      </c>
      <c r="M47">
        <v>32.5</v>
      </c>
      <c r="N47" s="2">
        <v>197972000</v>
      </c>
      <c r="O47">
        <v>0</v>
      </c>
      <c r="P47" t="s">
        <v>446</v>
      </c>
      <c r="Q47">
        <f t="shared" si="2"/>
        <v>2009</v>
      </c>
      <c r="R47">
        <f t="shared" si="3"/>
        <v>2012</v>
      </c>
      <c r="S47">
        <f t="shared" si="8"/>
        <v>0</v>
      </c>
      <c r="T47">
        <f t="shared" si="8"/>
        <v>0</v>
      </c>
      <c r="U47">
        <f t="shared" si="8"/>
        <v>0</v>
      </c>
      <c r="V47">
        <f t="shared" si="8"/>
        <v>0</v>
      </c>
      <c r="W47">
        <f t="shared" si="8"/>
        <v>1</v>
      </c>
      <c r="X47">
        <f t="shared" si="8"/>
        <v>1</v>
      </c>
      <c r="Y47">
        <f t="shared" si="8"/>
        <v>1</v>
      </c>
      <c r="Z47">
        <f t="shared" si="8"/>
        <v>1</v>
      </c>
      <c r="AA47">
        <f t="shared" si="8"/>
        <v>0</v>
      </c>
      <c r="AB47">
        <f t="shared" si="8"/>
        <v>0</v>
      </c>
      <c r="AC47">
        <f t="shared" si="8"/>
        <v>0</v>
      </c>
      <c r="AD47">
        <f t="shared" si="8"/>
        <v>0</v>
      </c>
      <c r="AE47">
        <f t="shared" si="8"/>
        <v>0</v>
      </c>
      <c r="AF47">
        <f t="shared" si="8"/>
        <v>0</v>
      </c>
      <c r="AG47">
        <f t="shared" si="8"/>
        <v>0</v>
      </c>
      <c r="AH47">
        <f t="shared" si="8"/>
        <v>0</v>
      </c>
      <c r="AI47">
        <f t="shared" si="7"/>
        <v>0</v>
      </c>
      <c r="AJ47">
        <f t="shared" si="7"/>
        <v>0</v>
      </c>
      <c r="AK47">
        <f t="shared" si="6"/>
        <v>0</v>
      </c>
      <c r="AL47">
        <f t="shared" si="6"/>
        <v>0</v>
      </c>
      <c r="AN47" s="7" t="s">
        <v>179</v>
      </c>
      <c r="AO47">
        <v>0</v>
      </c>
      <c r="AP47">
        <v>0</v>
      </c>
      <c r="AQ47">
        <v>0</v>
      </c>
      <c r="AR47">
        <v>0</v>
      </c>
      <c r="AS47">
        <v>0</v>
      </c>
      <c r="AT47">
        <v>0</v>
      </c>
      <c r="AU47">
        <v>0</v>
      </c>
      <c r="AV47">
        <v>0</v>
      </c>
      <c r="AW47">
        <v>0</v>
      </c>
      <c r="AX47">
        <v>0</v>
      </c>
      <c r="AY47">
        <v>0</v>
      </c>
      <c r="AZ47">
        <v>0</v>
      </c>
      <c r="BA47">
        <v>0</v>
      </c>
      <c r="BB47">
        <v>0</v>
      </c>
      <c r="BC47">
        <v>0</v>
      </c>
      <c r="BD47">
        <v>0</v>
      </c>
      <c r="BE47">
        <v>0</v>
      </c>
      <c r="BF47">
        <v>1</v>
      </c>
      <c r="BG47">
        <v>1</v>
      </c>
      <c r="BH47">
        <v>1</v>
      </c>
      <c r="BI47">
        <f t="shared" si="5"/>
        <v>0</v>
      </c>
      <c r="BJ47" cm="1">
        <f t="array" ref="BJ47">IF(MAX(FREQUENCY(IF(AO47:BH47&gt;0,ROW(AO47:BH47)),IF(AO47:BH47&lt;=0,ROW(AO47:BH47))))&gt;=7, 1, 0)</f>
        <v>0</v>
      </c>
    </row>
    <row r="48" spans="1:62" x14ac:dyDescent="0.25">
      <c r="A48" t="s">
        <v>131</v>
      </c>
      <c r="B48" t="s">
        <v>349</v>
      </c>
      <c r="C48" t="s">
        <v>444</v>
      </c>
      <c r="D48" t="s">
        <v>337</v>
      </c>
      <c r="E48" s="9">
        <v>44392</v>
      </c>
      <c r="F48" s="9">
        <v>45487</v>
      </c>
      <c r="G48" s="2">
        <v>1066000000</v>
      </c>
      <c r="H48">
        <v>100</v>
      </c>
      <c r="I48" t="s">
        <v>445</v>
      </c>
      <c r="J48" t="s">
        <v>445</v>
      </c>
      <c r="K48" s="9">
        <v>45482</v>
      </c>
      <c r="L48" s="2">
        <v>1066000000</v>
      </c>
      <c r="M48">
        <v>100</v>
      </c>
      <c r="N48" s="2">
        <v>1066000000</v>
      </c>
      <c r="O48" s="2">
        <v>1066000000</v>
      </c>
      <c r="P48" t="s">
        <v>446</v>
      </c>
      <c r="Q48">
        <f t="shared" si="2"/>
        <v>2021</v>
      </c>
      <c r="R48">
        <f t="shared" si="3"/>
        <v>2024</v>
      </c>
      <c r="S48">
        <f t="shared" si="8"/>
        <v>0</v>
      </c>
      <c r="T48">
        <f t="shared" si="8"/>
        <v>0</v>
      </c>
      <c r="U48">
        <f t="shared" si="8"/>
        <v>0</v>
      </c>
      <c r="V48">
        <f t="shared" si="8"/>
        <v>0</v>
      </c>
      <c r="W48">
        <f t="shared" si="8"/>
        <v>0</v>
      </c>
      <c r="X48">
        <f t="shared" si="8"/>
        <v>0</v>
      </c>
      <c r="Y48">
        <f t="shared" si="8"/>
        <v>0</v>
      </c>
      <c r="Z48">
        <f t="shared" si="8"/>
        <v>0</v>
      </c>
      <c r="AA48">
        <f t="shared" si="8"/>
        <v>0</v>
      </c>
      <c r="AB48">
        <f t="shared" si="8"/>
        <v>0</v>
      </c>
      <c r="AC48">
        <f t="shared" si="8"/>
        <v>0</v>
      </c>
      <c r="AD48">
        <f t="shared" si="8"/>
        <v>0</v>
      </c>
      <c r="AE48">
        <f t="shared" si="8"/>
        <v>0</v>
      </c>
      <c r="AF48">
        <f t="shared" si="8"/>
        <v>0</v>
      </c>
      <c r="AG48">
        <f t="shared" si="8"/>
        <v>0</v>
      </c>
      <c r="AH48">
        <f t="shared" si="8"/>
        <v>0</v>
      </c>
      <c r="AI48">
        <f t="shared" si="7"/>
        <v>1</v>
      </c>
      <c r="AJ48">
        <f t="shared" si="7"/>
        <v>1</v>
      </c>
      <c r="AK48">
        <f t="shared" si="6"/>
        <v>1</v>
      </c>
      <c r="AL48">
        <f t="shared" si="6"/>
        <v>1</v>
      </c>
      <c r="AN48" s="7" t="s">
        <v>180</v>
      </c>
      <c r="AO48">
        <v>0</v>
      </c>
      <c r="AP48">
        <v>0</v>
      </c>
      <c r="AQ48">
        <v>1</v>
      </c>
      <c r="AR48">
        <v>1</v>
      </c>
      <c r="AS48">
        <v>1</v>
      </c>
      <c r="AT48">
        <v>1</v>
      </c>
      <c r="AU48">
        <v>0</v>
      </c>
      <c r="AV48">
        <v>0</v>
      </c>
      <c r="AW48">
        <v>0</v>
      </c>
      <c r="AX48">
        <v>0</v>
      </c>
      <c r="AY48">
        <v>0</v>
      </c>
      <c r="AZ48">
        <v>0</v>
      </c>
      <c r="BA48">
        <v>0</v>
      </c>
      <c r="BB48">
        <v>0</v>
      </c>
      <c r="BC48">
        <v>0</v>
      </c>
      <c r="BD48">
        <v>0</v>
      </c>
      <c r="BE48">
        <v>0</v>
      </c>
      <c r="BF48">
        <v>0</v>
      </c>
      <c r="BG48">
        <v>0</v>
      </c>
      <c r="BH48">
        <v>0</v>
      </c>
      <c r="BI48">
        <f t="shared" si="5"/>
        <v>0</v>
      </c>
      <c r="BJ48" cm="1">
        <f t="array" ref="BJ48">IF(MAX(FREQUENCY(IF(AO48:BH48&gt;0,ROW(AO48:BH48)),IF(AO48:BH48&lt;=0,ROW(AO48:BH48))))&gt;=7, 1, 0)</f>
        <v>0</v>
      </c>
    </row>
    <row r="49" spans="1:62" x14ac:dyDescent="0.25">
      <c r="A49" t="s">
        <v>350</v>
      </c>
      <c r="B49" t="s">
        <v>351</v>
      </c>
      <c r="C49" t="s">
        <v>444</v>
      </c>
      <c r="D49" t="s">
        <v>337</v>
      </c>
      <c r="E49" s="9">
        <v>39790</v>
      </c>
      <c r="F49" s="9">
        <v>40884</v>
      </c>
      <c r="G49" s="2">
        <v>8460000</v>
      </c>
      <c r="H49">
        <v>10</v>
      </c>
      <c r="I49" t="s">
        <v>445</v>
      </c>
      <c r="J49" t="s">
        <v>445</v>
      </c>
      <c r="K49" s="9">
        <v>40759</v>
      </c>
      <c r="L49" s="2">
        <v>8460000</v>
      </c>
      <c r="M49">
        <v>5.2</v>
      </c>
      <c r="N49" s="2">
        <v>8460000</v>
      </c>
      <c r="O49">
        <v>0</v>
      </c>
      <c r="P49" t="s">
        <v>446</v>
      </c>
      <c r="Q49">
        <f t="shared" si="2"/>
        <v>2008</v>
      </c>
      <c r="R49">
        <f t="shared" si="3"/>
        <v>2011</v>
      </c>
      <c r="S49">
        <f t="shared" si="8"/>
        <v>0</v>
      </c>
      <c r="T49">
        <f t="shared" si="8"/>
        <v>0</v>
      </c>
      <c r="U49">
        <f t="shared" si="8"/>
        <v>0</v>
      </c>
      <c r="V49">
        <f t="shared" si="8"/>
        <v>1</v>
      </c>
      <c r="W49">
        <f t="shared" si="8"/>
        <v>1</v>
      </c>
      <c r="X49">
        <f t="shared" si="8"/>
        <v>1</v>
      </c>
      <c r="Y49">
        <f t="shared" si="8"/>
        <v>1</v>
      </c>
      <c r="Z49">
        <f t="shared" si="8"/>
        <v>0</v>
      </c>
      <c r="AA49">
        <f t="shared" si="8"/>
        <v>0</v>
      </c>
      <c r="AB49">
        <f t="shared" si="8"/>
        <v>0</v>
      </c>
      <c r="AC49">
        <f t="shared" si="8"/>
        <v>0</v>
      </c>
      <c r="AD49">
        <f t="shared" si="8"/>
        <v>0</v>
      </c>
      <c r="AE49">
        <f t="shared" si="8"/>
        <v>0</v>
      </c>
      <c r="AF49">
        <f t="shared" si="8"/>
        <v>0</v>
      </c>
      <c r="AG49">
        <f t="shared" si="8"/>
        <v>0</v>
      </c>
      <c r="AH49">
        <f t="shared" si="8"/>
        <v>0</v>
      </c>
      <c r="AI49">
        <f t="shared" si="7"/>
        <v>0</v>
      </c>
      <c r="AJ49">
        <f t="shared" si="7"/>
        <v>0</v>
      </c>
      <c r="AK49">
        <f t="shared" si="6"/>
        <v>0</v>
      </c>
      <c r="AL49">
        <f t="shared" si="6"/>
        <v>0</v>
      </c>
      <c r="AN49" s="7" t="s">
        <v>182</v>
      </c>
      <c r="AO49">
        <v>1</v>
      </c>
      <c r="AP49">
        <v>1</v>
      </c>
      <c r="AQ49">
        <v>1</v>
      </c>
      <c r="AR49">
        <v>2</v>
      </c>
      <c r="AS49">
        <v>1</v>
      </c>
      <c r="AT49">
        <v>1</v>
      </c>
      <c r="AU49">
        <v>1</v>
      </c>
      <c r="AV49">
        <v>1</v>
      </c>
      <c r="AW49">
        <v>1</v>
      </c>
      <c r="AX49">
        <v>1</v>
      </c>
      <c r="AY49">
        <v>1</v>
      </c>
      <c r="AZ49">
        <v>0</v>
      </c>
      <c r="BA49">
        <v>1</v>
      </c>
      <c r="BB49">
        <v>1</v>
      </c>
      <c r="BC49">
        <v>1</v>
      </c>
      <c r="BD49">
        <v>1</v>
      </c>
      <c r="BE49">
        <v>1</v>
      </c>
      <c r="BF49">
        <v>1</v>
      </c>
      <c r="BG49">
        <v>1</v>
      </c>
      <c r="BH49">
        <v>1</v>
      </c>
      <c r="BI49">
        <f t="shared" si="5"/>
        <v>1</v>
      </c>
      <c r="BJ49" cm="1">
        <f t="array" ref="BJ49">IF(MAX(FREQUENCY(IF(AO49:BH49&gt;0,ROW(AO49:BH49)),IF(AO49:BH49&lt;=0,ROW(AO49:BH49))))&gt;=7, 1, 0)</f>
        <v>1</v>
      </c>
    </row>
    <row r="50" spans="1:62" x14ac:dyDescent="0.25">
      <c r="A50" t="s">
        <v>350</v>
      </c>
      <c r="B50" t="s">
        <v>351</v>
      </c>
      <c r="C50" t="s">
        <v>444</v>
      </c>
      <c r="D50" t="s">
        <v>337</v>
      </c>
      <c r="E50" s="9">
        <v>43657</v>
      </c>
      <c r="F50" s="9">
        <v>44752</v>
      </c>
      <c r="G50" s="2">
        <v>324000000</v>
      </c>
      <c r="H50">
        <v>200</v>
      </c>
      <c r="I50" t="s">
        <v>445</v>
      </c>
      <c r="J50" t="s">
        <v>445</v>
      </c>
      <c r="K50" s="9">
        <v>44296</v>
      </c>
      <c r="L50" s="2">
        <v>324000000</v>
      </c>
      <c r="M50">
        <v>200</v>
      </c>
      <c r="N50" s="2">
        <v>32400000</v>
      </c>
      <c r="O50" s="2">
        <v>32400000</v>
      </c>
      <c r="P50" t="s">
        <v>446</v>
      </c>
      <c r="Q50">
        <f t="shared" si="2"/>
        <v>2019</v>
      </c>
      <c r="R50">
        <f t="shared" si="3"/>
        <v>2022</v>
      </c>
      <c r="S50">
        <f t="shared" si="8"/>
        <v>0</v>
      </c>
      <c r="T50">
        <f t="shared" si="8"/>
        <v>0</v>
      </c>
      <c r="U50">
        <f t="shared" si="8"/>
        <v>0</v>
      </c>
      <c r="V50">
        <f t="shared" si="8"/>
        <v>0</v>
      </c>
      <c r="W50">
        <f t="shared" si="8"/>
        <v>0</v>
      </c>
      <c r="X50">
        <f t="shared" si="8"/>
        <v>0</v>
      </c>
      <c r="Y50">
        <f t="shared" si="8"/>
        <v>0</v>
      </c>
      <c r="Z50">
        <f t="shared" si="8"/>
        <v>0</v>
      </c>
      <c r="AA50">
        <f t="shared" si="8"/>
        <v>0</v>
      </c>
      <c r="AB50">
        <f t="shared" si="8"/>
        <v>0</v>
      </c>
      <c r="AC50">
        <f t="shared" si="8"/>
        <v>0</v>
      </c>
      <c r="AD50">
        <f t="shared" si="8"/>
        <v>0</v>
      </c>
      <c r="AE50">
        <f t="shared" si="8"/>
        <v>0</v>
      </c>
      <c r="AF50">
        <f t="shared" si="8"/>
        <v>0</v>
      </c>
      <c r="AG50">
        <f t="shared" si="8"/>
        <v>1</v>
      </c>
      <c r="AH50">
        <f t="shared" si="8"/>
        <v>1</v>
      </c>
      <c r="AI50">
        <f t="shared" si="7"/>
        <v>1</v>
      </c>
      <c r="AJ50">
        <f t="shared" si="7"/>
        <v>1</v>
      </c>
      <c r="AK50">
        <f t="shared" si="6"/>
        <v>0</v>
      </c>
      <c r="AL50">
        <f t="shared" si="6"/>
        <v>0</v>
      </c>
      <c r="AN50" s="7" t="s">
        <v>183</v>
      </c>
      <c r="AO50">
        <v>0</v>
      </c>
      <c r="AP50">
        <v>0</v>
      </c>
      <c r="AQ50">
        <v>0</v>
      </c>
      <c r="AR50">
        <v>0</v>
      </c>
      <c r="AS50">
        <v>0</v>
      </c>
      <c r="AT50">
        <v>0</v>
      </c>
      <c r="AU50">
        <v>0</v>
      </c>
      <c r="AV50">
        <v>0</v>
      </c>
      <c r="AW50">
        <v>0</v>
      </c>
      <c r="AX50">
        <v>0</v>
      </c>
      <c r="AY50">
        <v>0</v>
      </c>
      <c r="AZ50">
        <v>0</v>
      </c>
      <c r="BA50">
        <v>0</v>
      </c>
      <c r="BB50">
        <v>0</v>
      </c>
      <c r="BC50">
        <v>0</v>
      </c>
      <c r="BD50">
        <v>0</v>
      </c>
      <c r="BE50">
        <v>0</v>
      </c>
      <c r="BF50">
        <v>0</v>
      </c>
      <c r="BG50">
        <v>1</v>
      </c>
      <c r="BH50">
        <v>1</v>
      </c>
      <c r="BI50">
        <f t="shared" si="5"/>
        <v>0</v>
      </c>
      <c r="BJ50" cm="1">
        <f t="array" ref="BJ50">IF(MAX(FREQUENCY(IF(AO50:BH50&gt;0,ROW(AO50:BH50)),IF(AO50:BH50&lt;=0,ROW(AO50:BH50))))&gt;=7, 1, 0)</f>
        <v>0</v>
      </c>
    </row>
    <row r="51" spans="1:62" x14ac:dyDescent="0.25">
      <c r="A51" t="s">
        <v>350</v>
      </c>
      <c r="B51" t="s">
        <v>351</v>
      </c>
      <c r="C51" t="s">
        <v>444</v>
      </c>
      <c r="D51" t="s">
        <v>337</v>
      </c>
      <c r="E51" s="9">
        <v>44582</v>
      </c>
      <c r="F51" s="9">
        <v>45677</v>
      </c>
      <c r="G51" s="2">
        <v>324000000</v>
      </c>
      <c r="H51">
        <v>200</v>
      </c>
      <c r="I51" t="s">
        <v>445</v>
      </c>
      <c r="J51" t="s">
        <v>445</v>
      </c>
      <c r="K51" s="9">
        <v>45677</v>
      </c>
      <c r="L51" s="2">
        <v>324000000</v>
      </c>
      <c r="M51">
        <v>200</v>
      </c>
      <c r="N51" s="2">
        <v>291600000</v>
      </c>
      <c r="O51" s="2">
        <v>291600000</v>
      </c>
      <c r="P51" t="s">
        <v>451</v>
      </c>
      <c r="Q51">
        <f t="shared" si="2"/>
        <v>2022</v>
      </c>
      <c r="R51">
        <f t="shared" si="3"/>
        <v>2024</v>
      </c>
      <c r="S51">
        <f t="shared" si="8"/>
        <v>0</v>
      </c>
      <c r="T51">
        <f t="shared" si="8"/>
        <v>0</v>
      </c>
      <c r="U51">
        <f t="shared" si="8"/>
        <v>0</v>
      </c>
      <c r="V51">
        <f t="shared" si="8"/>
        <v>0</v>
      </c>
      <c r="W51">
        <f t="shared" si="8"/>
        <v>0</v>
      </c>
      <c r="X51">
        <f t="shared" si="8"/>
        <v>0</v>
      </c>
      <c r="Y51">
        <f t="shared" si="8"/>
        <v>0</v>
      </c>
      <c r="Z51">
        <f t="shared" si="8"/>
        <v>0</v>
      </c>
      <c r="AA51">
        <f t="shared" si="8"/>
        <v>0</v>
      </c>
      <c r="AB51">
        <f t="shared" si="8"/>
        <v>0</v>
      </c>
      <c r="AC51">
        <f t="shared" si="8"/>
        <v>0</v>
      </c>
      <c r="AD51">
        <f t="shared" si="8"/>
        <v>0</v>
      </c>
      <c r="AE51">
        <f t="shared" si="8"/>
        <v>0</v>
      </c>
      <c r="AF51">
        <f t="shared" si="8"/>
        <v>0</v>
      </c>
      <c r="AG51">
        <f t="shared" si="8"/>
        <v>0</v>
      </c>
      <c r="AH51">
        <f t="shared" si="8"/>
        <v>0</v>
      </c>
      <c r="AI51">
        <f t="shared" si="7"/>
        <v>0</v>
      </c>
      <c r="AJ51">
        <f t="shared" si="7"/>
        <v>1</v>
      </c>
      <c r="AK51">
        <f t="shared" si="6"/>
        <v>1</v>
      </c>
      <c r="AL51">
        <f t="shared" si="6"/>
        <v>1</v>
      </c>
      <c r="AN51" s="7" t="s">
        <v>184</v>
      </c>
      <c r="AO51">
        <v>0</v>
      </c>
      <c r="AP51">
        <v>1</v>
      </c>
      <c r="AQ51">
        <v>1</v>
      </c>
      <c r="AR51">
        <v>1</v>
      </c>
      <c r="AS51">
        <v>1</v>
      </c>
      <c r="AT51">
        <v>0</v>
      </c>
      <c r="AU51">
        <v>0</v>
      </c>
      <c r="AV51">
        <v>0</v>
      </c>
      <c r="AW51">
        <v>0</v>
      </c>
      <c r="AX51">
        <v>0</v>
      </c>
      <c r="AY51">
        <v>0</v>
      </c>
      <c r="AZ51">
        <v>1</v>
      </c>
      <c r="BA51">
        <v>1</v>
      </c>
      <c r="BB51">
        <v>0</v>
      </c>
      <c r="BC51">
        <v>0</v>
      </c>
      <c r="BD51">
        <v>0</v>
      </c>
      <c r="BE51">
        <v>0</v>
      </c>
      <c r="BF51">
        <v>0</v>
      </c>
      <c r="BG51">
        <v>1</v>
      </c>
      <c r="BH51">
        <v>1</v>
      </c>
      <c r="BI51">
        <f t="shared" si="5"/>
        <v>0</v>
      </c>
      <c r="BJ51" cm="1">
        <f t="array" ref="BJ51">IF(MAX(FREQUENCY(IF(AO51:BH51&gt;0,ROW(AO51:BH51)),IF(AO51:BH51&lt;=0,ROW(AO51:BH51))))&gt;=7, 1, 0)</f>
        <v>1</v>
      </c>
    </row>
    <row r="52" spans="1:62" x14ac:dyDescent="0.25">
      <c r="A52" t="s">
        <v>134</v>
      </c>
      <c r="B52" t="s">
        <v>352</v>
      </c>
      <c r="C52" t="s">
        <v>444</v>
      </c>
      <c r="D52" t="s">
        <v>337</v>
      </c>
      <c r="E52" s="9">
        <v>39899</v>
      </c>
      <c r="F52" s="9">
        <v>40994</v>
      </c>
      <c r="G52" s="2">
        <v>373980000</v>
      </c>
      <c r="H52">
        <v>115</v>
      </c>
      <c r="I52" t="s">
        <v>445</v>
      </c>
      <c r="J52" t="s">
        <v>445</v>
      </c>
      <c r="K52" s="9">
        <v>40717</v>
      </c>
      <c r="L52" s="2">
        <v>373980000</v>
      </c>
      <c r="M52">
        <v>57.5</v>
      </c>
      <c r="N52" s="2">
        <v>230892000</v>
      </c>
      <c r="O52">
        <v>0</v>
      </c>
      <c r="P52" t="s">
        <v>446</v>
      </c>
      <c r="Q52">
        <f t="shared" si="2"/>
        <v>2009</v>
      </c>
      <c r="R52">
        <f t="shared" si="3"/>
        <v>2012</v>
      </c>
      <c r="S52">
        <f t="shared" si="8"/>
        <v>0</v>
      </c>
      <c r="T52">
        <f t="shared" si="8"/>
        <v>0</v>
      </c>
      <c r="U52">
        <f t="shared" si="8"/>
        <v>0</v>
      </c>
      <c r="V52">
        <f t="shared" si="8"/>
        <v>0</v>
      </c>
      <c r="W52">
        <f t="shared" si="8"/>
        <v>1</v>
      </c>
      <c r="X52">
        <f t="shared" si="8"/>
        <v>1</v>
      </c>
      <c r="Y52">
        <f t="shared" si="8"/>
        <v>1</v>
      </c>
      <c r="Z52">
        <f t="shared" si="8"/>
        <v>1</v>
      </c>
      <c r="AA52">
        <f t="shared" si="8"/>
        <v>0</v>
      </c>
      <c r="AB52">
        <f t="shared" si="8"/>
        <v>0</v>
      </c>
      <c r="AC52">
        <f t="shared" si="8"/>
        <v>0</v>
      </c>
      <c r="AD52">
        <f t="shared" si="8"/>
        <v>0</v>
      </c>
      <c r="AE52">
        <f t="shared" si="8"/>
        <v>0</v>
      </c>
      <c r="AF52">
        <f t="shared" si="8"/>
        <v>0</v>
      </c>
      <c r="AG52">
        <f t="shared" si="8"/>
        <v>0</v>
      </c>
      <c r="AH52">
        <f t="shared" si="8"/>
        <v>0</v>
      </c>
      <c r="AI52">
        <f t="shared" si="7"/>
        <v>0</v>
      </c>
      <c r="AJ52">
        <f t="shared" si="7"/>
        <v>0</v>
      </c>
      <c r="AK52">
        <f t="shared" si="6"/>
        <v>0</v>
      </c>
      <c r="AL52">
        <f t="shared" si="6"/>
        <v>0</v>
      </c>
      <c r="AN52" s="7" t="s">
        <v>382</v>
      </c>
      <c r="AO52">
        <v>1</v>
      </c>
      <c r="AP52">
        <v>1</v>
      </c>
      <c r="AQ52">
        <v>1</v>
      </c>
      <c r="AR52">
        <v>1</v>
      </c>
      <c r="AS52">
        <v>1</v>
      </c>
      <c r="AT52">
        <v>1</v>
      </c>
      <c r="AU52">
        <v>1</v>
      </c>
      <c r="AV52">
        <v>2</v>
      </c>
      <c r="AW52">
        <v>1</v>
      </c>
      <c r="AX52">
        <v>1</v>
      </c>
      <c r="AY52">
        <v>2</v>
      </c>
      <c r="AZ52">
        <v>1</v>
      </c>
      <c r="BA52">
        <v>1</v>
      </c>
      <c r="BB52">
        <v>1</v>
      </c>
      <c r="BC52">
        <v>1</v>
      </c>
      <c r="BD52">
        <v>1</v>
      </c>
      <c r="BE52">
        <v>1</v>
      </c>
      <c r="BF52">
        <v>1</v>
      </c>
      <c r="BG52">
        <v>1</v>
      </c>
      <c r="BH52">
        <v>1</v>
      </c>
      <c r="BI52">
        <f t="shared" si="5"/>
        <v>1</v>
      </c>
      <c r="BJ52" cm="1">
        <f t="array" ref="BJ52">IF(MAX(FREQUENCY(IF(AO52:BH52&gt;0,ROW(AO52:BH52)),IF(AO52:BH52&lt;=0,ROW(AO52:BH52))))&gt;=7, 1, 0)</f>
        <v>1</v>
      </c>
    </row>
    <row r="53" spans="1:62" x14ac:dyDescent="0.25">
      <c r="A53" t="s">
        <v>134</v>
      </c>
      <c r="B53" t="s">
        <v>352</v>
      </c>
      <c r="C53" t="s">
        <v>444</v>
      </c>
      <c r="D53" t="s">
        <v>337</v>
      </c>
      <c r="E53" s="9">
        <v>40851</v>
      </c>
      <c r="F53" s="9">
        <v>41946</v>
      </c>
      <c r="G53" s="2">
        <v>390240000</v>
      </c>
      <c r="H53">
        <v>120</v>
      </c>
      <c r="I53" t="s">
        <v>445</v>
      </c>
      <c r="J53" t="s">
        <v>445</v>
      </c>
      <c r="K53" s="9">
        <v>42355</v>
      </c>
      <c r="L53" s="2">
        <v>520320000</v>
      </c>
      <c r="M53">
        <v>80</v>
      </c>
      <c r="N53" s="2">
        <v>520320000</v>
      </c>
      <c r="O53" s="2">
        <v>14634000</v>
      </c>
      <c r="P53" t="s">
        <v>446</v>
      </c>
      <c r="Q53">
        <f t="shared" si="2"/>
        <v>2011</v>
      </c>
      <c r="R53">
        <f t="shared" si="3"/>
        <v>2014</v>
      </c>
      <c r="S53">
        <f t="shared" si="8"/>
        <v>0</v>
      </c>
      <c r="T53">
        <f t="shared" si="8"/>
        <v>0</v>
      </c>
      <c r="U53">
        <f t="shared" si="8"/>
        <v>0</v>
      </c>
      <c r="V53">
        <f t="shared" si="8"/>
        <v>0</v>
      </c>
      <c r="W53">
        <f t="shared" si="8"/>
        <v>0</v>
      </c>
      <c r="X53">
        <f t="shared" si="8"/>
        <v>0</v>
      </c>
      <c r="Y53">
        <f t="shared" si="8"/>
        <v>1</v>
      </c>
      <c r="Z53">
        <f t="shared" si="8"/>
        <v>1</v>
      </c>
      <c r="AA53">
        <f t="shared" si="8"/>
        <v>1</v>
      </c>
      <c r="AB53">
        <f t="shared" si="8"/>
        <v>1</v>
      </c>
      <c r="AC53">
        <f t="shared" si="8"/>
        <v>0</v>
      </c>
      <c r="AD53">
        <f t="shared" si="8"/>
        <v>0</v>
      </c>
      <c r="AE53">
        <f t="shared" si="8"/>
        <v>0</v>
      </c>
      <c r="AF53">
        <f t="shared" si="8"/>
        <v>0</v>
      </c>
      <c r="AG53">
        <f t="shared" si="8"/>
        <v>0</v>
      </c>
      <c r="AH53">
        <f t="shared" si="8"/>
        <v>0</v>
      </c>
      <c r="AI53">
        <f t="shared" si="7"/>
        <v>0</v>
      </c>
      <c r="AJ53">
        <f t="shared" si="7"/>
        <v>0</v>
      </c>
      <c r="AK53">
        <f t="shared" si="6"/>
        <v>0</v>
      </c>
      <c r="AL53">
        <f t="shared" si="6"/>
        <v>0</v>
      </c>
      <c r="AN53" s="7" t="s">
        <v>188</v>
      </c>
      <c r="AO53">
        <v>0</v>
      </c>
      <c r="AP53">
        <v>0</v>
      </c>
      <c r="AQ53">
        <v>0</v>
      </c>
      <c r="AR53">
        <v>1</v>
      </c>
      <c r="AS53">
        <v>1</v>
      </c>
      <c r="AT53">
        <v>0</v>
      </c>
      <c r="AU53">
        <v>0</v>
      </c>
      <c r="AV53">
        <v>0</v>
      </c>
      <c r="AW53">
        <v>0</v>
      </c>
      <c r="AX53">
        <v>0</v>
      </c>
      <c r="AY53">
        <v>0</v>
      </c>
      <c r="AZ53">
        <v>0</v>
      </c>
      <c r="BA53">
        <v>0</v>
      </c>
      <c r="BB53">
        <v>0</v>
      </c>
      <c r="BC53">
        <v>0</v>
      </c>
      <c r="BD53">
        <v>0</v>
      </c>
      <c r="BE53">
        <v>1</v>
      </c>
      <c r="BF53">
        <v>1</v>
      </c>
      <c r="BG53">
        <v>1</v>
      </c>
      <c r="BH53">
        <v>1</v>
      </c>
      <c r="BI53">
        <f t="shared" si="5"/>
        <v>0</v>
      </c>
      <c r="BJ53" cm="1">
        <f t="array" ref="BJ53">IF(MAX(FREQUENCY(IF(AO53:BH53&gt;0,ROW(AO53:BH53)),IF(AO53:BH53&lt;=0,ROW(AO53:BH53))))&gt;=7, 1, 0)</f>
        <v>0</v>
      </c>
    </row>
    <row r="54" spans="1:62" x14ac:dyDescent="0.25">
      <c r="A54" t="s">
        <v>134</v>
      </c>
      <c r="B54" t="s">
        <v>352</v>
      </c>
      <c r="C54" t="s">
        <v>444</v>
      </c>
      <c r="D54" t="s">
        <v>337</v>
      </c>
      <c r="E54" s="9">
        <v>42716</v>
      </c>
      <c r="F54" s="9">
        <v>43810</v>
      </c>
      <c r="G54" s="2">
        <v>162600000</v>
      </c>
      <c r="H54">
        <v>25</v>
      </c>
      <c r="I54" t="s">
        <v>445</v>
      </c>
      <c r="J54" t="s">
        <v>445</v>
      </c>
      <c r="K54" s="9">
        <v>44176</v>
      </c>
      <c r="L54" s="2">
        <v>281324000</v>
      </c>
      <c r="M54">
        <v>43.3</v>
      </c>
      <c r="N54" s="2">
        <v>281324000</v>
      </c>
      <c r="O54" s="2">
        <v>218993600</v>
      </c>
      <c r="P54" t="s">
        <v>446</v>
      </c>
      <c r="Q54">
        <f t="shared" si="2"/>
        <v>2016</v>
      </c>
      <c r="R54">
        <f t="shared" si="3"/>
        <v>2019</v>
      </c>
      <c r="S54">
        <f t="shared" si="8"/>
        <v>0</v>
      </c>
      <c r="T54">
        <f t="shared" si="8"/>
        <v>0</v>
      </c>
      <c r="U54">
        <f t="shared" si="8"/>
        <v>0</v>
      </c>
      <c r="V54">
        <f t="shared" si="8"/>
        <v>0</v>
      </c>
      <c r="W54">
        <f t="shared" si="8"/>
        <v>0</v>
      </c>
      <c r="X54">
        <f t="shared" si="8"/>
        <v>0</v>
      </c>
      <c r="Y54">
        <f t="shared" si="8"/>
        <v>0</v>
      </c>
      <c r="Z54">
        <f t="shared" si="8"/>
        <v>0</v>
      </c>
      <c r="AA54">
        <f t="shared" si="8"/>
        <v>0</v>
      </c>
      <c r="AB54">
        <f t="shared" si="8"/>
        <v>0</v>
      </c>
      <c r="AC54">
        <f t="shared" si="8"/>
        <v>0</v>
      </c>
      <c r="AD54">
        <f t="shared" si="8"/>
        <v>1</v>
      </c>
      <c r="AE54">
        <f t="shared" si="8"/>
        <v>1</v>
      </c>
      <c r="AF54">
        <f t="shared" si="8"/>
        <v>1</v>
      </c>
      <c r="AG54">
        <f t="shared" si="8"/>
        <v>1</v>
      </c>
      <c r="AH54">
        <f t="shared" si="8"/>
        <v>0</v>
      </c>
      <c r="AI54">
        <f t="shared" si="7"/>
        <v>0</v>
      </c>
      <c r="AJ54">
        <f t="shared" si="7"/>
        <v>0</v>
      </c>
      <c r="AK54">
        <f t="shared" si="6"/>
        <v>0</v>
      </c>
      <c r="AL54">
        <f t="shared" si="6"/>
        <v>0</v>
      </c>
      <c r="AN54" s="7" t="s">
        <v>189</v>
      </c>
      <c r="AO54">
        <v>0</v>
      </c>
      <c r="AP54">
        <v>1</v>
      </c>
      <c r="AQ54">
        <v>1</v>
      </c>
      <c r="AR54">
        <v>1</v>
      </c>
      <c r="AS54">
        <v>1</v>
      </c>
      <c r="AT54">
        <v>1</v>
      </c>
      <c r="AU54">
        <v>1</v>
      </c>
      <c r="AV54">
        <v>1</v>
      </c>
      <c r="AW54">
        <v>2</v>
      </c>
      <c r="AX54">
        <v>1</v>
      </c>
      <c r="AY54">
        <v>1</v>
      </c>
      <c r="AZ54">
        <v>1</v>
      </c>
      <c r="BA54">
        <v>1</v>
      </c>
      <c r="BB54">
        <v>2</v>
      </c>
      <c r="BC54">
        <v>2</v>
      </c>
      <c r="BD54">
        <v>2</v>
      </c>
      <c r="BE54">
        <v>1</v>
      </c>
      <c r="BF54">
        <v>1</v>
      </c>
      <c r="BG54">
        <v>0</v>
      </c>
      <c r="BH54">
        <v>1</v>
      </c>
      <c r="BI54">
        <f t="shared" si="5"/>
        <v>1</v>
      </c>
      <c r="BJ54" cm="1">
        <f t="array" ref="BJ54">IF(MAX(FREQUENCY(IF(AO54:BH54&gt;0,ROW(AO54:BH54)),IF(AO54:BH54&lt;=0,ROW(AO54:BH54))))&gt;=7, 1, 0)</f>
        <v>1</v>
      </c>
    </row>
    <row r="55" spans="1:62" x14ac:dyDescent="0.25">
      <c r="A55" t="s">
        <v>134</v>
      </c>
      <c r="B55" t="s">
        <v>352</v>
      </c>
      <c r="C55" t="s">
        <v>444</v>
      </c>
      <c r="D55" t="s">
        <v>337</v>
      </c>
      <c r="E55" s="9">
        <v>45070</v>
      </c>
      <c r="F55" s="9">
        <v>46288</v>
      </c>
      <c r="G55" s="2">
        <v>867200000</v>
      </c>
      <c r="H55">
        <v>133.30000000000001</v>
      </c>
      <c r="I55" t="s">
        <v>445</v>
      </c>
      <c r="J55" t="s">
        <v>445</v>
      </c>
      <c r="K55" s="9">
        <v>46288</v>
      </c>
      <c r="L55" s="2">
        <v>867200000</v>
      </c>
      <c r="M55">
        <v>133.30000000000001</v>
      </c>
      <c r="N55" s="2">
        <v>495544000</v>
      </c>
      <c r="O55" s="2">
        <v>495544000</v>
      </c>
      <c r="P55" t="s">
        <v>451</v>
      </c>
      <c r="Q55">
        <f t="shared" si="2"/>
        <v>2023</v>
      </c>
      <c r="R55">
        <f t="shared" si="3"/>
        <v>2024</v>
      </c>
      <c r="S55">
        <f t="shared" si="8"/>
        <v>0</v>
      </c>
      <c r="T55">
        <f t="shared" si="8"/>
        <v>0</v>
      </c>
      <c r="U55">
        <f t="shared" si="8"/>
        <v>0</v>
      </c>
      <c r="V55">
        <f t="shared" si="8"/>
        <v>0</v>
      </c>
      <c r="W55">
        <f t="shared" si="8"/>
        <v>0</v>
      </c>
      <c r="X55">
        <f t="shared" si="8"/>
        <v>0</v>
      </c>
      <c r="Y55">
        <f t="shared" si="8"/>
        <v>0</v>
      </c>
      <c r="Z55">
        <f t="shared" si="8"/>
        <v>0</v>
      </c>
      <c r="AA55">
        <f t="shared" si="8"/>
        <v>0</v>
      </c>
      <c r="AB55">
        <f t="shared" si="8"/>
        <v>0</v>
      </c>
      <c r="AC55">
        <f t="shared" si="8"/>
        <v>0</v>
      </c>
      <c r="AD55">
        <f t="shared" si="8"/>
        <v>0</v>
      </c>
      <c r="AE55">
        <f t="shared" si="8"/>
        <v>0</v>
      </c>
      <c r="AF55">
        <f t="shared" si="8"/>
        <v>0</v>
      </c>
      <c r="AG55">
        <f t="shared" si="8"/>
        <v>0</v>
      </c>
      <c r="AH55">
        <f t="shared" si="8"/>
        <v>0</v>
      </c>
      <c r="AI55">
        <f t="shared" si="7"/>
        <v>0</v>
      </c>
      <c r="AJ55">
        <f t="shared" si="7"/>
        <v>0</v>
      </c>
      <c r="AK55">
        <f t="shared" si="6"/>
        <v>1</v>
      </c>
      <c r="AL55">
        <f t="shared" si="6"/>
        <v>1</v>
      </c>
      <c r="AN55" s="7" t="s">
        <v>190</v>
      </c>
      <c r="AO55">
        <v>0</v>
      </c>
      <c r="AP55">
        <v>0</v>
      </c>
      <c r="AQ55">
        <v>0</v>
      </c>
      <c r="AR55">
        <v>0</v>
      </c>
      <c r="AS55">
        <v>0</v>
      </c>
      <c r="AT55">
        <v>1</v>
      </c>
      <c r="AU55">
        <v>2</v>
      </c>
      <c r="AV55">
        <v>2</v>
      </c>
      <c r="AW55">
        <v>1</v>
      </c>
      <c r="AX55">
        <v>1</v>
      </c>
      <c r="AY55">
        <v>1</v>
      </c>
      <c r="AZ55">
        <v>0</v>
      </c>
      <c r="BA55">
        <v>0</v>
      </c>
      <c r="BB55">
        <v>0</v>
      </c>
      <c r="BC55">
        <v>0</v>
      </c>
      <c r="BD55">
        <v>0</v>
      </c>
      <c r="BE55">
        <v>0</v>
      </c>
      <c r="BF55">
        <v>0</v>
      </c>
      <c r="BG55">
        <v>0</v>
      </c>
      <c r="BH55">
        <v>0</v>
      </c>
      <c r="BI55">
        <f t="shared" si="5"/>
        <v>0</v>
      </c>
      <c r="BJ55" cm="1">
        <f t="array" ref="BJ55">IF(MAX(FREQUENCY(IF(AO55:BH55&gt;0,ROW(AO55:BH55)),IF(AO55:BH55&lt;=0,ROW(AO55:BH55))))&gt;=7, 1, 0)</f>
        <v>0</v>
      </c>
    </row>
    <row r="56" spans="1:62" x14ac:dyDescent="0.25">
      <c r="A56" t="s">
        <v>135</v>
      </c>
      <c r="B56" t="s">
        <v>353</v>
      </c>
      <c r="C56" t="s">
        <v>444</v>
      </c>
      <c r="D56" t="s">
        <v>337</v>
      </c>
      <c r="E56" s="9">
        <v>39708</v>
      </c>
      <c r="F56" s="9">
        <v>40802</v>
      </c>
      <c r="G56" s="2">
        <v>12720000</v>
      </c>
      <c r="H56">
        <v>80</v>
      </c>
      <c r="I56" t="s">
        <v>445</v>
      </c>
      <c r="J56" t="s">
        <v>445</v>
      </c>
      <c r="K56" s="9">
        <v>41060</v>
      </c>
      <c r="L56" s="2">
        <v>22260000</v>
      </c>
      <c r="M56">
        <v>70</v>
      </c>
      <c r="N56" s="2">
        <v>22260000</v>
      </c>
      <c r="O56">
        <v>0</v>
      </c>
      <c r="P56" t="s">
        <v>446</v>
      </c>
      <c r="Q56">
        <f t="shared" si="2"/>
        <v>2008</v>
      </c>
      <c r="R56">
        <f t="shared" si="3"/>
        <v>2011</v>
      </c>
      <c r="S56">
        <f t="shared" si="8"/>
        <v>0</v>
      </c>
      <c r="T56">
        <f t="shared" si="8"/>
        <v>0</v>
      </c>
      <c r="U56">
        <f t="shared" si="8"/>
        <v>0</v>
      </c>
      <c r="V56">
        <f t="shared" si="8"/>
        <v>1</v>
      </c>
      <c r="W56">
        <f t="shared" si="8"/>
        <v>1</v>
      </c>
      <c r="X56">
        <f t="shared" si="8"/>
        <v>1</v>
      </c>
      <c r="Y56">
        <f t="shared" si="8"/>
        <v>1</v>
      </c>
      <c r="Z56">
        <f t="shared" si="8"/>
        <v>0</v>
      </c>
      <c r="AA56">
        <f t="shared" si="8"/>
        <v>0</v>
      </c>
      <c r="AB56">
        <f t="shared" si="8"/>
        <v>0</v>
      </c>
      <c r="AC56">
        <f t="shared" si="8"/>
        <v>0</v>
      </c>
      <c r="AD56">
        <f t="shared" si="8"/>
        <v>0</v>
      </c>
      <c r="AE56">
        <f t="shared" si="8"/>
        <v>0</v>
      </c>
      <c r="AF56">
        <f t="shared" si="8"/>
        <v>0</v>
      </c>
      <c r="AG56">
        <f t="shared" si="8"/>
        <v>0</v>
      </c>
      <c r="AH56">
        <f t="shared" ref="AH56:AL71" si="9">IF(AND(AH$10 &gt;= $Q56, AH$10 &lt;= $R56), 1, 0)</f>
        <v>0</v>
      </c>
      <c r="AI56">
        <f t="shared" si="9"/>
        <v>0</v>
      </c>
      <c r="AJ56">
        <f t="shared" si="9"/>
        <v>0</v>
      </c>
      <c r="AK56">
        <f t="shared" si="9"/>
        <v>0</v>
      </c>
      <c r="AL56">
        <f t="shared" si="9"/>
        <v>0</v>
      </c>
      <c r="AN56" s="7" t="s">
        <v>191</v>
      </c>
      <c r="AO56">
        <v>0</v>
      </c>
      <c r="AP56">
        <v>0</v>
      </c>
      <c r="AQ56">
        <v>0</v>
      </c>
      <c r="AR56">
        <v>0</v>
      </c>
      <c r="AS56">
        <v>0</v>
      </c>
      <c r="AT56">
        <v>0</v>
      </c>
      <c r="AU56">
        <v>0</v>
      </c>
      <c r="AV56">
        <v>0</v>
      </c>
      <c r="AW56">
        <v>0</v>
      </c>
      <c r="AX56">
        <v>0</v>
      </c>
      <c r="AY56">
        <v>0</v>
      </c>
      <c r="AZ56">
        <v>0</v>
      </c>
      <c r="BA56">
        <v>0</v>
      </c>
      <c r="BB56">
        <v>0</v>
      </c>
      <c r="BC56">
        <v>0</v>
      </c>
      <c r="BD56">
        <v>1</v>
      </c>
      <c r="BE56">
        <v>1</v>
      </c>
      <c r="BF56">
        <v>1</v>
      </c>
      <c r="BG56">
        <v>2</v>
      </c>
      <c r="BH56">
        <v>1</v>
      </c>
      <c r="BI56">
        <f t="shared" si="5"/>
        <v>0</v>
      </c>
      <c r="BJ56" cm="1">
        <f t="array" ref="BJ56">IF(MAX(FREQUENCY(IF(AO56:BH56&gt;0,ROW(AO56:BH56)),IF(AO56:BH56&lt;=0,ROW(AO56:BH56))))&gt;=7, 1, 0)</f>
        <v>0</v>
      </c>
    </row>
    <row r="57" spans="1:62" x14ac:dyDescent="0.25">
      <c r="A57" t="s">
        <v>143</v>
      </c>
      <c r="B57" t="s">
        <v>355</v>
      </c>
      <c r="C57" t="s">
        <v>444</v>
      </c>
      <c r="D57" t="s">
        <v>453</v>
      </c>
      <c r="E57" s="9">
        <v>40051</v>
      </c>
      <c r="F57" s="9">
        <v>40476</v>
      </c>
      <c r="G57" s="2">
        <v>153755000</v>
      </c>
      <c r="H57">
        <v>115</v>
      </c>
      <c r="I57" t="s">
        <v>445</v>
      </c>
      <c r="J57" t="s">
        <v>445</v>
      </c>
      <c r="K57" s="9">
        <v>40504</v>
      </c>
      <c r="L57" s="2">
        <v>153755000</v>
      </c>
      <c r="M57">
        <v>51.1</v>
      </c>
      <c r="N57" s="2">
        <v>153755000</v>
      </c>
      <c r="O57">
        <v>0</v>
      </c>
      <c r="P57" t="s">
        <v>446</v>
      </c>
      <c r="Q57">
        <f t="shared" si="2"/>
        <v>2009</v>
      </c>
      <c r="R57">
        <f t="shared" si="3"/>
        <v>2010</v>
      </c>
      <c r="S57">
        <f t="shared" ref="S57:AH72" si="10">IF(AND(S$10 &gt;= $Q57, S$10 &lt;= $R57), 1, 0)</f>
        <v>0</v>
      </c>
      <c r="T57">
        <f t="shared" si="10"/>
        <v>0</v>
      </c>
      <c r="U57">
        <f t="shared" si="10"/>
        <v>0</v>
      </c>
      <c r="V57">
        <f t="shared" si="10"/>
        <v>0</v>
      </c>
      <c r="W57">
        <f t="shared" si="10"/>
        <v>1</v>
      </c>
      <c r="X57">
        <f t="shared" si="10"/>
        <v>1</v>
      </c>
      <c r="Y57">
        <f t="shared" si="10"/>
        <v>0</v>
      </c>
      <c r="Z57">
        <f t="shared" si="10"/>
        <v>0</v>
      </c>
      <c r="AA57">
        <f t="shared" si="10"/>
        <v>0</v>
      </c>
      <c r="AB57">
        <f t="shared" si="10"/>
        <v>0</v>
      </c>
      <c r="AC57">
        <f t="shared" si="10"/>
        <v>0</v>
      </c>
      <c r="AD57">
        <f t="shared" si="10"/>
        <v>0</v>
      </c>
      <c r="AE57">
        <f t="shared" si="10"/>
        <v>0</v>
      </c>
      <c r="AF57">
        <f t="shared" si="10"/>
        <v>0</v>
      </c>
      <c r="AG57">
        <f t="shared" si="10"/>
        <v>0</v>
      </c>
      <c r="AH57">
        <f t="shared" si="10"/>
        <v>0</v>
      </c>
      <c r="AI57">
        <f t="shared" si="9"/>
        <v>0</v>
      </c>
      <c r="AJ57">
        <f t="shared" si="9"/>
        <v>0</v>
      </c>
      <c r="AK57">
        <f t="shared" si="9"/>
        <v>0</v>
      </c>
      <c r="AL57">
        <f t="shared" si="9"/>
        <v>0</v>
      </c>
      <c r="AN57" s="7" t="s">
        <v>196</v>
      </c>
      <c r="AO57">
        <v>0</v>
      </c>
      <c r="AP57">
        <v>0</v>
      </c>
      <c r="AQ57">
        <v>0</v>
      </c>
      <c r="AR57">
        <v>0</v>
      </c>
      <c r="AS57">
        <v>0</v>
      </c>
      <c r="AT57">
        <v>0</v>
      </c>
      <c r="AU57">
        <v>0</v>
      </c>
      <c r="AV57">
        <v>0</v>
      </c>
      <c r="AW57">
        <v>0</v>
      </c>
      <c r="AX57">
        <v>0</v>
      </c>
      <c r="AY57">
        <v>0</v>
      </c>
      <c r="AZ57">
        <v>0</v>
      </c>
      <c r="BA57">
        <v>0</v>
      </c>
      <c r="BB57">
        <v>0</v>
      </c>
      <c r="BC57">
        <v>0</v>
      </c>
      <c r="BD57">
        <v>0</v>
      </c>
      <c r="BE57">
        <v>1</v>
      </c>
      <c r="BF57">
        <v>1</v>
      </c>
      <c r="BG57">
        <v>1</v>
      </c>
      <c r="BH57">
        <v>1</v>
      </c>
      <c r="BI57">
        <f t="shared" si="5"/>
        <v>0</v>
      </c>
      <c r="BJ57" cm="1">
        <f t="array" ref="BJ57">IF(MAX(FREQUENCY(IF(AO57:BH57&gt;0,ROW(AO57:BH57)),IF(AO57:BH57&lt;=0,ROW(AO57:BH57))))&gt;=7, 1, 0)</f>
        <v>0</v>
      </c>
    </row>
    <row r="58" spans="1:62" x14ac:dyDescent="0.25">
      <c r="A58" t="s">
        <v>143</v>
      </c>
      <c r="B58" t="s">
        <v>355</v>
      </c>
      <c r="C58" t="s">
        <v>444</v>
      </c>
      <c r="D58" t="s">
        <v>337</v>
      </c>
      <c r="E58" s="9">
        <v>43819</v>
      </c>
      <c r="F58" s="9">
        <v>44914</v>
      </c>
      <c r="G58" s="2">
        <v>1202800000</v>
      </c>
      <c r="H58">
        <v>400</v>
      </c>
      <c r="I58" t="s">
        <v>445</v>
      </c>
      <c r="J58" t="s">
        <v>445</v>
      </c>
      <c r="K58" s="9">
        <v>44458</v>
      </c>
      <c r="L58" s="2">
        <v>1202800000</v>
      </c>
      <c r="M58">
        <v>400</v>
      </c>
      <c r="N58" s="2">
        <v>133640000</v>
      </c>
      <c r="O58" s="2">
        <v>133640000</v>
      </c>
      <c r="P58" t="s">
        <v>446</v>
      </c>
      <c r="Q58">
        <f t="shared" si="2"/>
        <v>2019</v>
      </c>
      <c r="R58">
        <f t="shared" si="3"/>
        <v>2022</v>
      </c>
      <c r="S58">
        <f t="shared" si="10"/>
        <v>0</v>
      </c>
      <c r="T58">
        <f t="shared" si="10"/>
        <v>0</v>
      </c>
      <c r="U58">
        <f t="shared" si="10"/>
        <v>0</v>
      </c>
      <c r="V58">
        <f t="shared" si="10"/>
        <v>0</v>
      </c>
      <c r="W58">
        <f t="shared" si="10"/>
        <v>0</v>
      </c>
      <c r="X58">
        <f t="shared" si="10"/>
        <v>0</v>
      </c>
      <c r="Y58">
        <f t="shared" si="10"/>
        <v>0</v>
      </c>
      <c r="Z58">
        <f t="shared" si="10"/>
        <v>0</v>
      </c>
      <c r="AA58">
        <f t="shared" si="10"/>
        <v>0</v>
      </c>
      <c r="AB58">
        <f t="shared" si="10"/>
        <v>0</v>
      </c>
      <c r="AC58">
        <f t="shared" si="10"/>
        <v>0</v>
      </c>
      <c r="AD58">
        <f t="shared" si="10"/>
        <v>0</v>
      </c>
      <c r="AE58">
        <f t="shared" si="10"/>
        <v>0</v>
      </c>
      <c r="AF58">
        <f t="shared" si="10"/>
        <v>0</v>
      </c>
      <c r="AG58">
        <f t="shared" si="10"/>
        <v>1</v>
      </c>
      <c r="AH58">
        <f t="shared" si="10"/>
        <v>1</v>
      </c>
      <c r="AI58">
        <f t="shared" si="9"/>
        <v>1</v>
      </c>
      <c r="AJ58">
        <f t="shared" si="9"/>
        <v>1</v>
      </c>
      <c r="AK58">
        <f t="shared" si="9"/>
        <v>0</v>
      </c>
      <c r="AL58">
        <f t="shared" si="9"/>
        <v>0</v>
      </c>
      <c r="AN58" s="7" t="s">
        <v>389</v>
      </c>
      <c r="AO58">
        <v>0</v>
      </c>
      <c r="AP58">
        <v>0</v>
      </c>
      <c r="AQ58">
        <v>0</v>
      </c>
      <c r="AR58">
        <v>0</v>
      </c>
      <c r="AS58">
        <v>1</v>
      </c>
      <c r="AT58">
        <v>1</v>
      </c>
      <c r="AU58">
        <v>1</v>
      </c>
      <c r="AV58">
        <v>1</v>
      </c>
      <c r="AW58">
        <v>0</v>
      </c>
      <c r="AX58">
        <v>0</v>
      </c>
      <c r="AY58">
        <v>0</v>
      </c>
      <c r="AZ58">
        <v>0</v>
      </c>
      <c r="BA58">
        <v>0</v>
      </c>
      <c r="BB58">
        <v>0</v>
      </c>
      <c r="BC58">
        <v>0</v>
      </c>
      <c r="BD58">
        <v>0</v>
      </c>
      <c r="BE58">
        <v>0</v>
      </c>
      <c r="BF58">
        <v>0</v>
      </c>
      <c r="BG58">
        <v>0</v>
      </c>
      <c r="BH58">
        <v>0</v>
      </c>
      <c r="BI58">
        <f t="shared" si="5"/>
        <v>0</v>
      </c>
      <c r="BJ58" cm="1">
        <f t="array" ref="BJ58">IF(MAX(FREQUENCY(IF(AO58:BH58&gt;0,ROW(AO58:BH58)),IF(AO58:BH58&lt;=0,ROW(AO58:BH58))))&gt;=7, 1, 0)</f>
        <v>0</v>
      </c>
    </row>
    <row r="59" spans="1:62" x14ac:dyDescent="0.25">
      <c r="A59" t="s">
        <v>143</v>
      </c>
      <c r="B59" t="s">
        <v>355</v>
      </c>
      <c r="C59" t="s">
        <v>444</v>
      </c>
      <c r="D59" t="s">
        <v>337</v>
      </c>
      <c r="E59" s="9">
        <v>45502</v>
      </c>
      <c r="F59" s="9">
        <v>46962</v>
      </c>
      <c r="G59" s="2">
        <v>2555950000</v>
      </c>
      <c r="H59">
        <v>850</v>
      </c>
      <c r="I59" t="s">
        <v>445</v>
      </c>
      <c r="J59" t="s">
        <v>445</v>
      </c>
      <c r="K59" s="9">
        <v>46962</v>
      </c>
      <c r="L59" s="2">
        <v>2555950000</v>
      </c>
      <c r="M59">
        <v>850</v>
      </c>
      <c r="N59" s="2">
        <v>1022350000</v>
      </c>
      <c r="O59" s="2">
        <v>1022350000</v>
      </c>
      <c r="P59" t="s">
        <v>451</v>
      </c>
      <c r="Q59">
        <f t="shared" si="2"/>
        <v>2024</v>
      </c>
      <c r="R59">
        <f t="shared" si="3"/>
        <v>2024</v>
      </c>
      <c r="S59">
        <f t="shared" si="10"/>
        <v>0</v>
      </c>
      <c r="T59">
        <f t="shared" si="10"/>
        <v>0</v>
      </c>
      <c r="U59">
        <f t="shared" si="10"/>
        <v>0</v>
      </c>
      <c r="V59">
        <f t="shared" si="10"/>
        <v>0</v>
      </c>
      <c r="W59">
        <f t="shared" si="10"/>
        <v>0</v>
      </c>
      <c r="X59">
        <f t="shared" si="10"/>
        <v>0</v>
      </c>
      <c r="Y59">
        <f t="shared" si="10"/>
        <v>0</v>
      </c>
      <c r="Z59">
        <f t="shared" si="10"/>
        <v>0</v>
      </c>
      <c r="AA59">
        <f t="shared" si="10"/>
        <v>0</v>
      </c>
      <c r="AB59">
        <f t="shared" si="10"/>
        <v>0</v>
      </c>
      <c r="AC59">
        <f t="shared" si="10"/>
        <v>0</v>
      </c>
      <c r="AD59">
        <f t="shared" si="10"/>
        <v>0</v>
      </c>
      <c r="AE59">
        <f t="shared" si="10"/>
        <v>0</v>
      </c>
      <c r="AF59">
        <f t="shared" si="10"/>
        <v>0</v>
      </c>
      <c r="AG59">
        <f t="shared" si="10"/>
        <v>0</v>
      </c>
      <c r="AH59">
        <f t="shared" si="10"/>
        <v>0</v>
      </c>
      <c r="AI59">
        <f t="shared" si="9"/>
        <v>0</v>
      </c>
      <c r="AJ59">
        <f t="shared" si="9"/>
        <v>0</v>
      </c>
      <c r="AK59">
        <f t="shared" si="9"/>
        <v>0</v>
      </c>
      <c r="AL59">
        <f t="shared" si="9"/>
        <v>1</v>
      </c>
      <c r="AN59" s="7" t="s">
        <v>200</v>
      </c>
      <c r="AO59">
        <v>0</v>
      </c>
      <c r="AP59">
        <v>0</v>
      </c>
      <c r="AQ59">
        <v>0</v>
      </c>
      <c r="AR59">
        <v>0</v>
      </c>
      <c r="AS59">
        <v>1</v>
      </c>
      <c r="AT59">
        <v>1</v>
      </c>
      <c r="AU59">
        <v>0</v>
      </c>
      <c r="AV59">
        <v>1</v>
      </c>
      <c r="AW59">
        <v>1</v>
      </c>
      <c r="AX59">
        <v>1</v>
      </c>
      <c r="AY59">
        <v>0</v>
      </c>
      <c r="AZ59">
        <v>0</v>
      </c>
      <c r="BA59">
        <v>0</v>
      </c>
      <c r="BB59">
        <v>0</v>
      </c>
      <c r="BC59">
        <v>0</v>
      </c>
      <c r="BD59">
        <v>0</v>
      </c>
      <c r="BE59">
        <v>0</v>
      </c>
      <c r="BF59">
        <v>1</v>
      </c>
      <c r="BG59">
        <v>1</v>
      </c>
      <c r="BH59">
        <v>1</v>
      </c>
      <c r="BI59">
        <f t="shared" si="5"/>
        <v>0</v>
      </c>
      <c r="BJ59" cm="1">
        <f t="array" ref="BJ59">IF(MAX(FREQUENCY(IF(AO59:BH59&gt;0,ROW(AO59:BH59)),IF(AO59:BH59&lt;=0,ROW(AO59:BH59))))&gt;=7, 1, 0)</f>
        <v>1</v>
      </c>
    </row>
    <row r="60" spans="1:62" x14ac:dyDescent="0.25">
      <c r="A60" t="s">
        <v>145</v>
      </c>
      <c r="B60" t="s">
        <v>356</v>
      </c>
      <c r="C60" t="s">
        <v>444</v>
      </c>
      <c r="D60" t="s">
        <v>337</v>
      </c>
      <c r="E60" s="9">
        <v>39134</v>
      </c>
      <c r="F60" s="9">
        <v>40229</v>
      </c>
      <c r="G60" s="2">
        <v>14000000</v>
      </c>
      <c r="H60">
        <v>45</v>
      </c>
      <c r="I60" t="s">
        <v>445</v>
      </c>
      <c r="J60" t="s">
        <v>445</v>
      </c>
      <c r="K60" s="9">
        <v>40633</v>
      </c>
      <c r="L60" s="2">
        <v>24880000</v>
      </c>
      <c r="M60">
        <v>40</v>
      </c>
      <c r="N60" s="2">
        <v>22547500</v>
      </c>
      <c r="O60">
        <v>0</v>
      </c>
      <c r="P60" t="s">
        <v>446</v>
      </c>
      <c r="Q60">
        <f t="shared" si="2"/>
        <v>2007</v>
      </c>
      <c r="R60">
        <f t="shared" si="3"/>
        <v>2010</v>
      </c>
      <c r="S60">
        <f t="shared" si="10"/>
        <v>0</v>
      </c>
      <c r="T60">
        <f t="shared" si="10"/>
        <v>0</v>
      </c>
      <c r="U60">
        <f t="shared" si="10"/>
        <v>1</v>
      </c>
      <c r="V60">
        <f t="shared" si="10"/>
        <v>1</v>
      </c>
      <c r="W60">
        <f t="shared" si="10"/>
        <v>1</v>
      </c>
      <c r="X60">
        <f t="shared" si="10"/>
        <v>1</v>
      </c>
      <c r="Y60">
        <f t="shared" si="10"/>
        <v>0</v>
      </c>
      <c r="Z60">
        <f t="shared" si="10"/>
        <v>0</v>
      </c>
      <c r="AA60">
        <f t="shared" si="10"/>
        <v>0</v>
      </c>
      <c r="AB60">
        <f t="shared" si="10"/>
        <v>0</v>
      </c>
      <c r="AC60">
        <f t="shared" si="10"/>
        <v>0</v>
      </c>
      <c r="AD60">
        <f t="shared" si="10"/>
        <v>0</v>
      </c>
      <c r="AE60">
        <f t="shared" si="10"/>
        <v>0</v>
      </c>
      <c r="AF60">
        <f t="shared" si="10"/>
        <v>0</v>
      </c>
      <c r="AG60">
        <f t="shared" si="10"/>
        <v>0</v>
      </c>
      <c r="AH60">
        <f t="shared" si="10"/>
        <v>0</v>
      </c>
      <c r="AI60">
        <f t="shared" si="9"/>
        <v>0</v>
      </c>
      <c r="AJ60">
        <f t="shared" si="9"/>
        <v>0</v>
      </c>
      <c r="AK60">
        <f t="shared" si="9"/>
        <v>0</v>
      </c>
      <c r="AL60">
        <f t="shared" si="9"/>
        <v>0</v>
      </c>
      <c r="AN60" s="7" t="s">
        <v>202</v>
      </c>
      <c r="AO60">
        <v>0</v>
      </c>
      <c r="AP60">
        <v>0</v>
      </c>
      <c r="AQ60">
        <v>0</v>
      </c>
      <c r="AR60">
        <v>1</v>
      </c>
      <c r="AS60">
        <v>1</v>
      </c>
      <c r="AT60">
        <v>1</v>
      </c>
      <c r="AU60">
        <v>1</v>
      </c>
      <c r="AV60">
        <v>0</v>
      </c>
      <c r="AW60">
        <v>0</v>
      </c>
      <c r="AX60">
        <v>0</v>
      </c>
      <c r="AY60">
        <v>0</v>
      </c>
      <c r="AZ60">
        <v>0</v>
      </c>
      <c r="BA60">
        <v>1</v>
      </c>
      <c r="BB60">
        <v>1</v>
      </c>
      <c r="BC60">
        <v>1</v>
      </c>
      <c r="BD60">
        <v>1</v>
      </c>
      <c r="BE60">
        <v>0</v>
      </c>
      <c r="BF60">
        <v>0</v>
      </c>
      <c r="BG60">
        <v>0</v>
      </c>
      <c r="BH60">
        <v>1</v>
      </c>
      <c r="BI60">
        <f t="shared" si="5"/>
        <v>0</v>
      </c>
      <c r="BJ60" cm="1">
        <f t="array" ref="BJ60">IF(MAX(FREQUENCY(IF(AO60:BH60&gt;0,ROW(AO60:BH60)),IF(AO60:BH60&lt;=0,ROW(AO60:BH60))))&gt;=7, 1, 0)</f>
        <v>1</v>
      </c>
    </row>
    <row r="61" spans="1:62" x14ac:dyDescent="0.25">
      <c r="A61" t="s">
        <v>145</v>
      </c>
      <c r="B61" t="s">
        <v>356</v>
      </c>
      <c r="C61" t="s">
        <v>444</v>
      </c>
      <c r="D61" t="s">
        <v>337</v>
      </c>
      <c r="E61" s="9">
        <v>41054</v>
      </c>
      <c r="F61" s="9">
        <v>42148</v>
      </c>
      <c r="G61" s="2">
        <v>18660000</v>
      </c>
      <c r="H61">
        <v>60</v>
      </c>
      <c r="I61" t="s">
        <v>445</v>
      </c>
      <c r="J61" t="s">
        <v>445</v>
      </c>
      <c r="K61" s="9">
        <v>42083</v>
      </c>
      <c r="L61" s="2">
        <v>18660000</v>
      </c>
      <c r="M61">
        <v>30</v>
      </c>
      <c r="N61" s="2">
        <v>10885000</v>
      </c>
      <c r="O61">
        <v>0</v>
      </c>
      <c r="P61" t="s">
        <v>446</v>
      </c>
      <c r="Q61">
        <f t="shared" si="2"/>
        <v>2012</v>
      </c>
      <c r="R61">
        <f t="shared" si="3"/>
        <v>2015</v>
      </c>
      <c r="S61">
        <f t="shared" si="10"/>
        <v>0</v>
      </c>
      <c r="T61">
        <f t="shared" si="10"/>
        <v>0</v>
      </c>
      <c r="U61">
        <f t="shared" si="10"/>
        <v>0</v>
      </c>
      <c r="V61">
        <f t="shared" si="10"/>
        <v>0</v>
      </c>
      <c r="W61">
        <f t="shared" si="10"/>
        <v>0</v>
      </c>
      <c r="X61">
        <f t="shared" si="10"/>
        <v>0</v>
      </c>
      <c r="Y61">
        <f t="shared" si="10"/>
        <v>0</v>
      </c>
      <c r="Z61">
        <f t="shared" si="10"/>
        <v>1</v>
      </c>
      <c r="AA61">
        <f t="shared" si="10"/>
        <v>1</v>
      </c>
      <c r="AB61">
        <f t="shared" si="10"/>
        <v>1</v>
      </c>
      <c r="AC61">
        <f t="shared" si="10"/>
        <v>1</v>
      </c>
      <c r="AD61">
        <f t="shared" si="10"/>
        <v>0</v>
      </c>
      <c r="AE61">
        <f t="shared" si="10"/>
        <v>0</v>
      </c>
      <c r="AF61">
        <f t="shared" si="10"/>
        <v>0</v>
      </c>
      <c r="AG61">
        <f t="shared" si="10"/>
        <v>0</v>
      </c>
      <c r="AH61">
        <f t="shared" si="10"/>
        <v>0</v>
      </c>
      <c r="AI61">
        <f t="shared" si="9"/>
        <v>0</v>
      </c>
      <c r="AJ61">
        <f t="shared" si="9"/>
        <v>0</v>
      </c>
      <c r="AK61">
        <f t="shared" si="9"/>
        <v>0</v>
      </c>
      <c r="AL61">
        <f t="shared" si="9"/>
        <v>0</v>
      </c>
      <c r="AN61" s="7" t="s">
        <v>206</v>
      </c>
      <c r="AO61">
        <v>0</v>
      </c>
      <c r="AP61">
        <v>0</v>
      </c>
      <c r="AQ61">
        <v>0</v>
      </c>
      <c r="AR61">
        <v>0</v>
      </c>
      <c r="AS61">
        <v>0</v>
      </c>
      <c r="AT61">
        <v>0</v>
      </c>
      <c r="AU61">
        <v>0</v>
      </c>
      <c r="AV61">
        <v>0</v>
      </c>
      <c r="AW61">
        <v>0</v>
      </c>
      <c r="AX61">
        <v>0</v>
      </c>
      <c r="AY61">
        <v>0</v>
      </c>
      <c r="AZ61">
        <v>0</v>
      </c>
      <c r="BA61">
        <v>0</v>
      </c>
      <c r="BB61">
        <v>0</v>
      </c>
      <c r="BC61">
        <v>0</v>
      </c>
      <c r="BD61">
        <v>0</v>
      </c>
      <c r="BE61">
        <v>1</v>
      </c>
      <c r="BF61">
        <v>1</v>
      </c>
      <c r="BG61">
        <v>1</v>
      </c>
      <c r="BH61">
        <v>1</v>
      </c>
      <c r="BI61">
        <f t="shared" si="5"/>
        <v>0</v>
      </c>
      <c r="BJ61" cm="1">
        <f t="array" ref="BJ61">IF(MAX(FREQUENCY(IF(AO61:BH61&gt;0,ROW(AO61:BH61)),IF(AO61:BH61&lt;=0,ROW(AO61:BH61))))&gt;=7, 1, 0)</f>
        <v>0</v>
      </c>
    </row>
    <row r="62" spans="1:62" x14ac:dyDescent="0.25">
      <c r="A62" t="s">
        <v>145</v>
      </c>
      <c r="B62" t="s">
        <v>356</v>
      </c>
      <c r="C62" t="s">
        <v>444</v>
      </c>
      <c r="D62" t="s">
        <v>337</v>
      </c>
      <c r="E62" s="9">
        <v>43913</v>
      </c>
      <c r="F62" s="9">
        <v>45099</v>
      </c>
      <c r="G62" s="2">
        <v>35000000</v>
      </c>
      <c r="H62">
        <v>56.3</v>
      </c>
      <c r="I62" t="s">
        <v>445</v>
      </c>
      <c r="J62" t="s">
        <v>445</v>
      </c>
      <c r="K62" s="9">
        <v>45091</v>
      </c>
      <c r="L62" s="2">
        <v>70550000</v>
      </c>
      <c r="M62">
        <v>113.4</v>
      </c>
      <c r="N62" s="2">
        <v>70550000</v>
      </c>
      <c r="O62" s="2">
        <v>70550000</v>
      </c>
      <c r="P62" t="s">
        <v>446</v>
      </c>
      <c r="Q62">
        <f t="shared" si="2"/>
        <v>2020</v>
      </c>
      <c r="R62">
        <f t="shared" si="3"/>
        <v>2023</v>
      </c>
      <c r="S62">
        <f t="shared" si="10"/>
        <v>0</v>
      </c>
      <c r="T62">
        <f t="shared" si="10"/>
        <v>0</v>
      </c>
      <c r="U62">
        <f t="shared" si="10"/>
        <v>0</v>
      </c>
      <c r="V62">
        <f t="shared" si="10"/>
        <v>0</v>
      </c>
      <c r="W62">
        <f t="shared" si="10"/>
        <v>0</v>
      </c>
      <c r="X62">
        <f t="shared" si="10"/>
        <v>0</v>
      </c>
      <c r="Y62">
        <f t="shared" si="10"/>
        <v>0</v>
      </c>
      <c r="Z62">
        <f t="shared" si="10"/>
        <v>0</v>
      </c>
      <c r="AA62">
        <f t="shared" si="10"/>
        <v>0</v>
      </c>
      <c r="AB62">
        <f t="shared" si="10"/>
        <v>0</v>
      </c>
      <c r="AC62">
        <f t="shared" si="10"/>
        <v>0</v>
      </c>
      <c r="AD62">
        <f t="shared" si="10"/>
        <v>0</v>
      </c>
      <c r="AE62">
        <f t="shared" si="10"/>
        <v>0</v>
      </c>
      <c r="AF62">
        <f t="shared" si="10"/>
        <v>0</v>
      </c>
      <c r="AG62">
        <f t="shared" si="10"/>
        <v>0</v>
      </c>
      <c r="AH62">
        <f t="shared" si="10"/>
        <v>1</v>
      </c>
      <c r="AI62">
        <f t="shared" si="9"/>
        <v>1</v>
      </c>
      <c r="AJ62">
        <f t="shared" si="9"/>
        <v>1</v>
      </c>
      <c r="AK62">
        <f t="shared" si="9"/>
        <v>1</v>
      </c>
      <c r="AL62">
        <f t="shared" si="9"/>
        <v>0</v>
      </c>
      <c r="AN62" s="7" t="s">
        <v>394</v>
      </c>
      <c r="AO62">
        <v>0</v>
      </c>
      <c r="AP62">
        <v>0</v>
      </c>
      <c r="AQ62">
        <v>0</v>
      </c>
      <c r="AR62">
        <v>0</v>
      </c>
      <c r="AS62">
        <v>0</v>
      </c>
      <c r="AT62">
        <v>1</v>
      </c>
      <c r="AU62">
        <v>1</v>
      </c>
      <c r="AV62">
        <v>1</v>
      </c>
      <c r="AW62">
        <v>1</v>
      </c>
      <c r="AX62">
        <v>1</v>
      </c>
      <c r="AY62">
        <v>1</v>
      </c>
      <c r="AZ62">
        <v>1</v>
      </c>
      <c r="BA62">
        <v>1</v>
      </c>
      <c r="BB62">
        <v>0</v>
      </c>
      <c r="BC62">
        <v>0</v>
      </c>
      <c r="BD62">
        <v>0</v>
      </c>
      <c r="BE62">
        <v>0</v>
      </c>
      <c r="BF62">
        <v>0</v>
      </c>
      <c r="BG62">
        <v>0</v>
      </c>
      <c r="BH62">
        <v>0</v>
      </c>
      <c r="BI62">
        <f t="shared" si="5"/>
        <v>0</v>
      </c>
      <c r="BJ62" cm="1">
        <f t="array" ref="BJ62">IF(MAX(FREQUENCY(IF(AO62:BH62&gt;0,ROW(AO62:BH62)),IF(AO62:BH62&lt;=0,ROW(AO62:BH62))))&gt;=7, 1, 0)</f>
        <v>1</v>
      </c>
    </row>
    <row r="63" spans="1:62" x14ac:dyDescent="0.25">
      <c r="A63" t="s">
        <v>145</v>
      </c>
      <c r="B63" t="s">
        <v>356</v>
      </c>
      <c r="C63" t="s">
        <v>444</v>
      </c>
      <c r="D63" t="s">
        <v>337</v>
      </c>
      <c r="E63" s="9">
        <v>45303</v>
      </c>
      <c r="F63" s="9">
        <v>46398</v>
      </c>
      <c r="G63" s="2">
        <v>74640000</v>
      </c>
      <c r="H63">
        <v>120</v>
      </c>
      <c r="I63" t="s">
        <v>445</v>
      </c>
      <c r="J63" t="s">
        <v>445</v>
      </c>
      <c r="K63" s="9">
        <v>46398</v>
      </c>
      <c r="L63" s="2">
        <v>74640000</v>
      </c>
      <c r="M63">
        <v>120</v>
      </c>
      <c r="N63" s="2">
        <v>24870000</v>
      </c>
      <c r="O63" s="2">
        <v>24870000</v>
      </c>
      <c r="P63" t="s">
        <v>451</v>
      </c>
      <c r="Q63">
        <f t="shared" si="2"/>
        <v>2024</v>
      </c>
      <c r="R63">
        <f t="shared" si="3"/>
        <v>2024</v>
      </c>
      <c r="S63">
        <f t="shared" si="10"/>
        <v>0</v>
      </c>
      <c r="T63">
        <f t="shared" si="10"/>
        <v>0</v>
      </c>
      <c r="U63">
        <f t="shared" si="10"/>
        <v>0</v>
      </c>
      <c r="V63">
        <f t="shared" si="10"/>
        <v>0</v>
      </c>
      <c r="W63">
        <f t="shared" si="10"/>
        <v>0</v>
      </c>
      <c r="X63">
        <f t="shared" si="10"/>
        <v>0</v>
      </c>
      <c r="Y63">
        <f t="shared" si="10"/>
        <v>0</v>
      </c>
      <c r="Z63">
        <f t="shared" si="10"/>
        <v>0</v>
      </c>
      <c r="AA63">
        <f t="shared" si="10"/>
        <v>0</v>
      </c>
      <c r="AB63">
        <f t="shared" si="10"/>
        <v>0</v>
      </c>
      <c r="AC63">
        <f t="shared" si="10"/>
        <v>0</v>
      </c>
      <c r="AD63">
        <f t="shared" si="10"/>
        <v>0</v>
      </c>
      <c r="AE63">
        <f t="shared" si="10"/>
        <v>0</v>
      </c>
      <c r="AF63">
        <f t="shared" si="10"/>
        <v>0</v>
      </c>
      <c r="AG63">
        <f t="shared" si="10"/>
        <v>0</v>
      </c>
      <c r="AH63">
        <f t="shared" si="10"/>
        <v>0</v>
      </c>
      <c r="AI63">
        <f t="shared" si="9"/>
        <v>0</v>
      </c>
      <c r="AJ63">
        <f t="shared" si="9"/>
        <v>0</v>
      </c>
      <c r="AK63">
        <f t="shared" si="9"/>
        <v>0</v>
      </c>
      <c r="AL63">
        <f t="shared" si="9"/>
        <v>1</v>
      </c>
      <c r="AN63" s="7" t="s">
        <v>212</v>
      </c>
      <c r="AO63">
        <v>0</v>
      </c>
      <c r="AP63">
        <v>0</v>
      </c>
      <c r="AQ63">
        <v>0</v>
      </c>
      <c r="AR63">
        <v>1</v>
      </c>
      <c r="AS63">
        <v>1</v>
      </c>
      <c r="AT63">
        <v>1</v>
      </c>
      <c r="AU63">
        <v>1</v>
      </c>
      <c r="AV63">
        <v>0</v>
      </c>
      <c r="AW63">
        <v>0</v>
      </c>
      <c r="AX63">
        <v>0</v>
      </c>
      <c r="AY63">
        <v>0</v>
      </c>
      <c r="AZ63">
        <v>0</v>
      </c>
      <c r="BA63">
        <v>0</v>
      </c>
      <c r="BB63">
        <v>0</v>
      </c>
      <c r="BC63">
        <v>0</v>
      </c>
      <c r="BD63">
        <v>0</v>
      </c>
      <c r="BE63">
        <v>0</v>
      </c>
      <c r="BF63">
        <v>1</v>
      </c>
      <c r="BG63">
        <v>1</v>
      </c>
      <c r="BH63">
        <v>1</v>
      </c>
      <c r="BI63">
        <f t="shared" si="5"/>
        <v>0</v>
      </c>
      <c r="BJ63" cm="1">
        <f t="array" ref="BJ63">IF(MAX(FREQUENCY(IF(AO63:BH63&gt;0,ROW(AO63:BH63)),IF(AO63:BH63&lt;=0,ROW(AO63:BH63))))&gt;=7, 1, 0)</f>
        <v>1</v>
      </c>
    </row>
    <row r="64" spans="1:62" x14ac:dyDescent="0.25">
      <c r="A64" t="s">
        <v>452</v>
      </c>
      <c r="B64" t="s">
        <v>454</v>
      </c>
      <c r="C64" t="s">
        <v>444</v>
      </c>
      <c r="D64" t="s">
        <v>364</v>
      </c>
      <c r="E64" s="9">
        <v>41010</v>
      </c>
      <c r="F64" s="9">
        <v>41739</v>
      </c>
      <c r="G64" s="2">
        <v>125000000</v>
      </c>
      <c r="H64">
        <v>83.2</v>
      </c>
      <c r="I64" t="s">
        <v>455</v>
      </c>
      <c r="J64" t="s">
        <v>445</v>
      </c>
      <c r="K64" s="9">
        <v>41739</v>
      </c>
      <c r="L64" s="2">
        <v>125000000</v>
      </c>
      <c r="M64">
        <v>59.4</v>
      </c>
      <c r="N64">
        <v>0</v>
      </c>
      <c r="O64">
        <v>0</v>
      </c>
      <c r="P64" t="s">
        <v>446</v>
      </c>
      <c r="Q64">
        <f t="shared" si="2"/>
        <v>2012</v>
      </c>
      <c r="R64">
        <f t="shared" si="3"/>
        <v>2014</v>
      </c>
      <c r="S64">
        <f t="shared" si="10"/>
        <v>0</v>
      </c>
      <c r="T64">
        <f t="shared" si="10"/>
        <v>0</v>
      </c>
      <c r="U64">
        <f t="shared" si="10"/>
        <v>0</v>
      </c>
      <c r="V64">
        <f t="shared" si="10"/>
        <v>0</v>
      </c>
      <c r="W64">
        <f t="shared" si="10"/>
        <v>0</v>
      </c>
      <c r="X64">
        <f t="shared" si="10"/>
        <v>0</v>
      </c>
      <c r="Y64">
        <f t="shared" si="10"/>
        <v>0</v>
      </c>
      <c r="Z64">
        <f t="shared" si="10"/>
        <v>1</v>
      </c>
      <c r="AA64">
        <f t="shared" si="10"/>
        <v>1</v>
      </c>
      <c r="AB64">
        <f t="shared" si="10"/>
        <v>1</v>
      </c>
      <c r="AC64">
        <f t="shared" si="10"/>
        <v>0</v>
      </c>
      <c r="AD64">
        <f t="shared" si="10"/>
        <v>0</v>
      </c>
      <c r="AE64">
        <f t="shared" si="10"/>
        <v>0</v>
      </c>
      <c r="AF64">
        <f t="shared" si="10"/>
        <v>0</v>
      </c>
      <c r="AG64">
        <f t="shared" si="10"/>
        <v>0</v>
      </c>
      <c r="AH64">
        <f t="shared" si="10"/>
        <v>0</v>
      </c>
      <c r="AI64">
        <f t="shared" si="9"/>
        <v>0</v>
      </c>
      <c r="AJ64">
        <f t="shared" si="9"/>
        <v>0</v>
      </c>
      <c r="AK64">
        <f t="shared" si="9"/>
        <v>0</v>
      </c>
      <c r="AL64">
        <f t="shared" si="9"/>
        <v>0</v>
      </c>
      <c r="AN64" s="7" t="s">
        <v>456</v>
      </c>
      <c r="AO64">
        <v>8</v>
      </c>
      <c r="AP64">
        <v>18</v>
      </c>
      <c r="AQ64">
        <v>22</v>
      </c>
      <c r="AR64">
        <v>34</v>
      </c>
      <c r="AS64">
        <v>36</v>
      </c>
      <c r="AT64">
        <v>37</v>
      </c>
      <c r="AU64">
        <v>35</v>
      </c>
      <c r="AV64">
        <v>36</v>
      </c>
      <c r="AW64">
        <v>31</v>
      </c>
      <c r="AX64">
        <v>24</v>
      </c>
      <c r="AY64">
        <v>24</v>
      </c>
      <c r="AZ64">
        <v>21</v>
      </c>
      <c r="BA64">
        <v>24</v>
      </c>
      <c r="BB64">
        <v>22</v>
      </c>
      <c r="BC64">
        <v>23</v>
      </c>
      <c r="BD64">
        <v>21</v>
      </c>
      <c r="BE64">
        <v>23</v>
      </c>
      <c r="BF64">
        <v>27</v>
      </c>
      <c r="BG64">
        <v>36</v>
      </c>
      <c r="BH64">
        <v>39</v>
      </c>
    </row>
    <row r="65" spans="1:38" x14ac:dyDescent="0.25">
      <c r="A65" t="s">
        <v>146</v>
      </c>
      <c r="B65" t="s">
        <v>357</v>
      </c>
      <c r="C65" t="s">
        <v>444</v>
      </c>
      <c r="D65" t="s">
        <v>337</v>
      </c>
      <c r="E65" s="9">
        <v>40009</v>
      </c>
      <c r="F65" s="9">
        <v>41104</v>
      </c>
      <c r="G65" s="2">
        <v>387450000</v>
      </c>
      <c r="H65">
        <v>105</v>
      </c>
      <c r="I65" t="s">
        <v>445</v>
      </c>
      <c r="J65" t="s">
        <v>445</v>
      </c>
      <c r="K65" s="9">
        <v>41113</v>
      </c>
      <c r="L65" s="2">
        <v>387450000</v>
      </c>
      <c r="M65">
        <v>52.5</v>
      </c>
      <c r="N65" s="2">
        <v>387450000</v>
      </c>
      <c r="O65">
        <v>0</v>
      </c>
      <c r="P65" t="s">
        <v>446</v>
      </c>
      <c r="Q65">
        <f t="shared" si="2"/>
        <v>2009</v>
      </c>
      <c r="R65">
        <f t="shared" si="3"/>
        <v>2012</v>
      </c>
      <c r="S65">
        <f t="shared" si="10"/>
        <v>0</v>
      </c>
      <c r="T65">
        <f t="shared" si="10"/>
        <v>0</v>
      </c>
      <c r="U65">
        <f t="shared" si="10"/>
        <v>0</v>
      </c>
      <c r="V65">
        <f t="shared" si="10"/>
        <v>0</v>
      </c>
      <c r="W65">
        <f t="shared" si="10"/>
        <v>1</v>
      </c>
      <c r="X65">
        <f t="shared" si="10"/>
        <v>1</v>
      </c>
      <c r="Y65">
        <f t="shared" si="10"/>
        <v>1</v>
      </c>
      <c r="Z65">
        <f t="shared" si="10"/>
        <v>1</v>
      </c>
      <c r="AA65">
        <f t="shared" si="10"/>
        <v>0</v>
      </c>
      <c r="AB65">
        <f t="shared" si="10"/>
        <v>0</v>
      </c>
      <c r="AC65">
        <f t="shared" si="10"/>
        <v>0</v>
      </c>
      <c r="AD65">
        <f t="shared" si="10"/>
        <v>0</v>
      </c>
      <c r="AE65">
        <f t="shared" si="10"/>
        <v>0</v>
      </c>
      <c r="AF65">
        <f t="shared" si="10"/>
        <v>0</v>
      </c>
      <c r="AG65">
        <f t="shared" si="10"/>
        <v>0</v>
      </c>
      <c r="AH65">
        <f t="shared" si="10"/>
        <v>0</v>
      </c>
      <c r="AI65">
        <f t="shared" si="9"/>
        <v>0</v>
      </c>
      <c r="AJ65">
        <f t="shared" si="9"/>
        <v>0</v>
      </c>
      <c r="AK65">
        <f t="shared" si="9"/>
        <v>0</v>
      </c>
      <c r="AL65">
        <f t="shared" si="9"/>
        <v>0</v>
      </c>
    </row>
    <row r="66" spans="1:38" x14ac:dyDescent="0.25">
      <c r="A66" t="s">
        <v>146</v>
      </c>
      <c r="B66" t="s">
        <v>357</v>
      </c>
      <c r="C66" t="s">
        <v>444</v>
      </c>
      <c r="D66" t="s">
        <v>337</v>
      </c>
      <c r="E66" s="9">
        <v>42097</v>
      </c>
      <c r="F66" s="9">
        <v>43192</v>
      </c>
      <c r="G66" s="2">
        <v>664200000</v>
      </c>
      <c r="H66">
        <v>180</v>
      </c>
      <c r="I66" t="s">
        <v>445</v>
      </c>
      <c r="J66" t="s">
        <v>445</v>
      </c>
      <c r="K66" s="9">
        <v>43553</v>
      </c>
      <c r="L66" s="2">
        <v>664200000</v>
      </c>
      <c r="M66">
        <v>90</v>
      </c>
      <c r="N66" s="2">
        <v>664200000</v>
      </c>
      <c r="O66" s="2">
        <v>335421000</v>
      </c>
      <c r="P66" t="s">
        <v>446</v>
      </c>
      <c r="Q66">
        <f t="shared" si="2"/>
        <v>2015</v>
      </c>
      <c r="R66">
        <f t="shared" si="3"/>
        <v>2018</v>
      </c>
      <c r="S66">
        <f t="shared" si="10"/>
        <v>0</v>
      </c>
      <c r="T66">
        <f t="shared" si="10"/>
        <v>0</v>
      </c>
      <c r="U66">
        <f t="shared" si="10"/>
        <v>0</v>
      </c>
      <c r="V66">
        <f t="shared" si="10"/>
        <v>0</v>
      </c>
      <c r="W66">
        <f t="shared" si="10"/>
        <v>0</v>
      </c>
      <c r="X66">
        <f t="shared" si="10"/>
        <v>0</v>
      </c>
      <c r="Y66">
        <f t="shared" si="10"/>
        <v>0</v>
      </c>
      <c r="Z66">
        <f t="shared" si="10"/>
        <v>0</v>
      </c>
      <c r="AA66">
        <f t="shared" si="10"/>
        <v>0</v>
      </c>
      <c r="AB66">
        <f t="shared" si="10"/>
        <v>0</v>
      </c>
      <c r="AC66">
        <f t="shared" si="10"/>
        <v>1</v>
      </c>
      <c r="AD66">
        <f t="shared" si="10"/>
        <v>1</v>
      </c>
      <c r="AE66">
        <f t="shared" si="10"/>
        <v>1</v>
      </c>
      <c r="AF66">
        <f t="shared" si="10"/>
        <v>1</v>
      </c>
      <c r="AG66">
        <f t="shared" si="10"/>
        <v>0</v>
      </c>
      <c r="AH66">
        <f t="shared" si="10"/>
        <v>0</v>
      </c>
      <c r="AI66">
        <f t="shared" si="9"/>
        <v>0</v>
      </c>
      <c r="AJ66">
        <f t="shared" si="9"/>
        <v>0</v>
      </c>
      <c r="AK66">
        <f t="shared" si="9"/>
        <v>0</v>
      </c>
      <c r="AL66">
        <f t="shared" si="9"/>
        <v>0</v>
      </c>
    </row>
    <row r="67" spans="1:38" x14ac:dyDescent="0.25">
      <c r="A67" t="s">
        <v>146</v>
      </c>
      <c r="B67" t="s">
        <v>357</v>
      </c>
      <c r="C67" t="s">
        <v>444</v>
      </c>
      <c r="D67" t="s">
        <v>337</v>
      </c>
      <c r="E67" s="9">
        <v>45063</v>
      </c>
      <c r="F67" s="9">
        <v>46158</v>
      </c>
      <c r="G67" s="2">
        <v>2241900000</v>
      </c>
      <c r="H67">
        <v>303.8</v>
      </c>
      <c r="I67" t="s">
        <v>445</v>
      </c>
      <c r="J67" t="s">
        <v>445</v>
      </c>
      <c r="K67" s="9">
        <v>46158</v>
      </c>
      <c r="L67" s="2">
        <v>2241900000</v>
      </c>
      <c r="M67">
        <v>303.8</v>
      </c>
      <c r="N67" s="2">
        <v>1441000000</v>
      </c>
      <c r="O67" s="2">
        <v>1441000000</v>
      </c>
      <c r="P67" t="s">
        <v>451</v>
      </c>
      <c r="Q67">
        <f t="shared" si="2"/>
        <v>2023</v>
      </c>
      <c r="R67">
        <f t="shared" si="3"/>
        <v>2024</v>
      </c>
      <c r="S67">
        <f t="shared" si="10"/>
        <v>0</v>
      </c>
      <c r="T67">
        <f t="shared" si="10"/>
        <v>0</v>
      </c>
      <c r="U67">
        <f t="shared" si="10"/>
        <v>0</v>
      </c>
      <c r="V67">
        <f t="shared" si="10"/>
        <v>0</v>
      </c>
      <c r="W67">
        <f t="shared" si="10"/>
        <v>0</v>
      </c>
      <c r="X67">
        <f t="shared" si="10"/>
        <v>0</v>
      </c>
      <c r="Y67">
        <f t="shared" si="10"/>
        <v>0</v>
      </c>
      <c r="Z67">
        <f t="shared" si="10"/>
        <v>0</v>
      </c>
      <c r="AA67">
        <f t="shared" si="10"/>
        <v>0</v>
      </c>
      <c r="AB67">
        <f t="shared" si="10"/>
        <v>0</v>
      </c>
      <c r="AC67">
        <f t="shared" si="10"/>
        <v>0</v>
      </c>
      <c r="AD67">
        <f t="shared" si="10"/>
        <v>0</v>
      </c>
      <c r="AE67">
        <f t="shared" si="10"/>
        <v>0</v>
      </c>
      <c r="AF67">
        <f t="shared" si="10"/>
        <v>0</v>
      </c>
      <c r="AG67">
        <f t="shared" si="10"/>
        <v>0</v>
      </c>
      <c r="AH67">
        <f t="shared" si="10"/>
        <v>0</v>
      </c>
      <c r="AI67">
        <f t="shared" si="9"/>
        <v>0</v>
      </c>
      <c r="AJ67">
        <f t="shared" si="9"/>
        <v>0</v>
      </c>
      <c r="AK67">
        <f t="shared" si="9"/>
        <v>1</v>
      </c>
      <c r="AL67">
        <f t="shared" si="9"/>
        <v>1</v>
      </c>
    </row>
    <row r="68" spans="1:38" x14ac:dyDescent="0.25">
      <c r="A68" t="s">
        <v>148</v>
      </c>
      <c r="B68" t="s">
        <v>358</v>
      </c>
      <c r="C68" t="s">
        <v>444</v>
      </c>
      <c r="D68" t="s">
        <v>337</v>
      </c>
      <c r="E68" s="9">
        <v>38824</v>
      </c>
      <c r="F68" s="9">
        <v>39919</v>
      </c>
      <c r="G68" s="2">
        <v>10530000</v>
      </c>
      <c r="H68">
        <v>90</v>
      </c>
      <c r="I68" t="s">
        <v>445</v>
      </c>
      <c r="J68" t="s">
        <v>445</v>
      </c>
      <c r="K68" s="9">
        <v>40281</v>
      </c>
      <c r="L68" s="2">
        <v>16380000</v>
      </c>
      <c r="M68">
        <v>99.9</v>
      </c>
      <c r="N68" s="2">
        <v>16380000</v>
      </c>
      <c r="O68">
        <v>0</v>
      </c>
      <c r="P68" t="s">
        <v>446</v>
      </c>
      <c r="Q68">
        <f t="shared" si="2"/>
        <v>2006</v>
      </c>
      <c r="R68">
        <f t="shared" si="3"/>
        <v>2009</v>
      </c>
      <c r="S68">
        <f t="shared" si="10"/>
        <v>0</v>
      </c>
      <c r="T68">
        <f t="shared" si="10"/>
        <v>1</v>
      </c>
      <c r="U68">
        <f t="shared" si="10"/>
        <v>1</v>
      </c>
      <c r="V68">
        <f t="shared" si="10"/>
        <v>1</v>
      </c>
      <c r="W68">
        <f t="shared" si="10"/>
        <v>1</v>
      </c>
      <c r="X68">
        <f t="shared" si="10"/>
        <v>0</v>
      </c>
      <c r="Y68">
        <f t="shared" si="10"/>
        <v>0</v>
      </c>
      <c r="Z68">
        <f t="shared" si="10"/>
        <v>0</v>
      </c>
      <c r="AA68">
        <f t="shared" si="10"/>
        <v>0</v>
      </c>
      <c r="AB68">
        <f t="shared" si="10"/>
        <v>0</v>
      </c>
      <c r="AC68">
        <f t="shared" si="10"/>
        <v>0</v>
      </c>
      <c r="AD68">
        <f t="shared" si="10"/>
        <v>0</v>
      </c>
      <c r="AE68">
        <f t="shared" si="10"/>
        <v>0</v>
      </c>
      <c r="AF68">
        <f t="shared" si="10"/>
        <v>0</v>
      </c>
      <c r="AG68">
        <f t="shared" si="10"/>
        <v>0</v>
      </c>
      <c r="AH68">
        <f t="shared" si="10"/>
        <v>0</v>
      </c>
      <c r="AI68">
        <f t="shared" si="9"/>
        <v>0</v>
      </c>
      <c r="AJ68">
        <f t="shared" si="9"/>
        <v>0</v>
      </c>
      <c r="AK68">
        <f t="shared" si="9"/>
        <v>0</v>
      </c>
      <c r="AL68">
        <f t="shared" si="9"/>
        <v>0</v>
      </c>
    </row>
    <row r="69" spans="1:38" x14ac:dyDescent="0.25">
      <c r="A69" t="s">
        <v>148</v>
      </c>
      <c r="B69" t="s">
        <v>358</v>
      </c>
      <c r="C69" t="s">
        <v>444</v>
      </c>
      <c r="D69" t="s">
        <v>337</v>
      </c>
      <c r="E69" s="9">
        <v>40286</v>
      </c>
      <c r="F69" s="9">
        <v>41381</v>
      </c>
      <c r="G69" s="2">
        <v>8775000</v>
      </c>
      <c r="H69">
        <v>75</v>
      </c>
      <c r="I69" t="s">
        <v>445</v>
      </c>
      <c r="J69" t="s">
        <v>445</v>
      </c>
      <c r="K69" s="9">
        <v>41381</v>
      </c>
      <c r="L69" s="2">
        <v>8775000</v>
      </c>
      <c r="M69">
        <v>53.5</v>
      </c>
      <c r="N69" s="2">
        <v>2525000</v>
      </c>
      <c r="O69">
        <v>0</v>
      </c>
      <c r="P69" t="s">
        <v>446</v>
      </c>
      <c r="Q69">
        <f t="shared" si="2"/>
        <v>2010</v>
      </c>
      <c r="R69">
        <f t="shared" si="3"/>
        <v>2013</v>
      </c>
      <c r="S69">
        <f t="shared" si="10"/>
        <v>0</v>
      </c>
      <c r="T69">
        <f t="shared" si="10"/>
        <v>0</v>
      </c>
      <c r="U69">
        <f t="shared" si="10"/>
        <v>0</v>
      </c>
      <c r="V69">
        <f t="shared" si="10"/>
        <v>0</v>
      </c>
      <c r="W69">
        <f t="shared" si="10"/>
        <v>0</v>
      </c>
      <c r="X69">
        <f t="shared" si="10"/>
        <v>1</v>
      </c>
      <c r="Y69">
        <f t="shared" si="10"/>
        <v>1</v>
      </c>
      <c r="Z69">
        <f t="shared" si="10"/>
        <v>1</v>
      </c>
      <c r="AA69">
        <f t="shared" si="10"/>
        <v>1</v>
      </c>
      <c r="AB69">
        <f t="shared" si="10"/>
        <v>0</v>
      </c>
      <c r="AC69">
        <f t="shared" si="10"/>
        <v>0</v>
      </c>
      <c r="AD69">
        <f t="shared" si="10"/>
        <v>0</v>
      </c>
      <c r="AE69">
        <f t="shared" si="10"/>
        <v>0</v>
      </c>
      <c r="AF69">
        <f t="shared" si="10"/>
        <v>0</v>
      </c>
      <c r="AG69">
        <f t="shared" si="10"/>
        <v>0</v>
      </c>
      <c r="AH69">
        <f t="shared" si="10"/>
        <v>0</v>
      </c>
      <c r="AI69">
        <f t="shared" si="9"/>
        <v>0</v>
      </c>
      <c r="AJ69">
        <f t="shared" si="9"/>
        <v>0</v>
      </c>
      <c r="AK69">
        <f t="shared" si="9"/>
        <v>0</v>
      </c>
      <c r="AL69">
        <f t="shared" si="9"/>
        <v>0</v>
      </c>
    </row>
    <row r="70" spans="1:38" x14ac:dyDescent="0.25">
      <c r="A70" t="s">
        <v>148</v>
      </c>
      <c r="B70" t="s">
        <v>358</v>
      </c>
      <c r="C70" t="s">
        <v>444</v>
      </c>
      <c r="D70" t="s">
        <v>337</v>
      </c>
      <c r="E70" s="9">
        <v>41816</v>
      </c>
      <c r="F70" s="9">
        <v>42911</v>
      </c>
      <c r="G70" s="2">
        <v>14040000</v>
      </c>
      <c r="H70">
        <v>120</v>
      </c>
      <c r="I70" t="s">
        <v>445</v>
      </c>
      <c r="J70" t="s">
        <v>445</v>
      </c>
      <c r="K70" s="9">
        <v>42881</v>
      </c>
      <c r="L70" s="2">
        <v>14040000</v>
      </c>
      <c r="M70">
        <v>85.6</v>
      </c>
      <c r="N70" s="2">
        <v>14040000</v>
      </c>
      <c r="O70" s="2">
        <v>3200000</v>
      </c>
      <c r="P70" t="s">
        <v>446</v>
      </c>
      <c r="Q70">
        <f t="shared" si="2"/>
        <v>2014</v>
      </c>
      <c r="R70">
        <f t="shared" si="3"/>
        <v>2017</v>
      </c>
      <c r="S70">
        <f t="shared" si="10"/>
        <v>0</v>
      </c>
      <c r="T70">
        <f t="shared" si="10"/>
        <v>0</v>
      </c>
      <c r="U70">
        <f t="shared" si="10"/>
        <v>0</v>
      </c>
      <c r="V70">
        <f t="shared" si="10"/>
        <v>0</v>
      </c>
      <c r="W70">
        <f t="shared" si="10"/>
        <v>0</v>
      </c>
      <c r="X70">
        <f t="shared" si="10"/>
        <v>0</v>
      </c>
      <c r="Y70">
        <f t="shared" si="10"/>
        <v>0</v>
      </c>
      <c r="Z70">
        <f t="shared" si="10"/>
        <v>0</v>
      </c>
      <c r="AA70">
        <f t="shared" si="10"/>
        <v>0</v>
      </c>
      <c r="AB70">
        <f t="shared" si="10"/>
        <v>1</v>
      </c>
      <c r="AC70">
        <f t="shared" si="10"/>
        <v>1</v>
      </c>
      <c r="AD70">
        <f t="shared" si="10"/>
        <v>1</v>
      </c>
      <c r="AE70">
        <f t="shared" si="10"/>
        <v>1</v>
      </c>
      <c r="AF70">
        <f t="shared" si="10"/>
        <v>0</v>
      </c>
      <c r="AG70">
        <f t="shared" si="10"/>
        <v>0</v>
      </c>
      <c r="AH70">
        <f t="shared" si="10"/>
        <v>0</v>
      </c>
      <c r="AI70">
        <f t="shared" si="9"/>
        <v>0</v>
      </c>
      <c r="AJ70">
        <f t="shared" si="9"/>
        <v>0</v>
      </c>
      <c r="AK70">
        <f t="shared" si="9"/>
        <v>0</v>
      </c>
      <c r="AL70">
        <f t="shared" si="9"/>
        <v>0</v>
      </c>
    </row>
    <row r="71" spans="1:38" x14ac:dyDescent="0.25">
      <c r="A71" t="s">
        <v>149</v>
      </c>
      <c r="B71" t="s">
        <v>359</v>
      </c>
      <c r="C71" t="s">
        <v>444</v>
      </c>
      <c r="D71" t="s">
        <v>337</v>
      </c>
      <c r="E71" s="9">
        <v>39437</v>
      </c>
      <c r="F71" s="9">
        <v>40532</v>
      </c>
      <c r="G71" s="2">
        <v>48195000</v>
      </c>
      <c r="H71">
        <v>45</v>
      </c>
      <c r="I71" t="s">
        <v>445</v>
      </c>
      <c r="J71" t="s">
        <v>445</v>
      </c>
      <c r="K71" s="9">
        <v>40532</v>
      </c>
      <c r="L71" s="2">
        <v>69615000</v>
      </c>
      <c r="M71">
        <v>32.5</v>
      </c>
      <c r="N71" s="2">
        <v>24480000</v>
      </c>
      <c r="O71">
        <v>0</v>
      </c>
      <c r="P71" t="s">
        <v>446</v>
      </c>
      <c r="Q71">
        <f t="shared" si="2"/>
        <v>2007</v>
      </c>
      <c r="R71">
        <f t="shared" si="3"/>
        <v>2010</v>
      </c>
      <c r="S71">
        <f t="shared" si="10"/>
        <v>0</v>
      </c>
      <c r="T71">
        <f t="shared" si="10"/>
        <v>0</v>
      </c>
      <c r="U71">
        <f t="shared" si="10"/>
        <v>1</v>
      </c>
      <c r="V71">
        <f t="shared" si="10"/>
        <v>1</v>
      </c>
      <c r="W71">
        <f t="shared" si="10"/>
        <v>1</v>
      </c>
      <c r="X71">
        <f t="shared" si="10"/>
        <v>1</v>
      </c>
      <c r="Y71">
        <f t="shared" si="10"/>
        <v>0</v>
      </c>
      <c r="Z71">
        <f t="shared" si="10"/>
        <v>0</v>
      </c>
      <c r="AA71">
        <f t="shared" si="10"/>
        <v>0</v>
      </c>
      <c r="AB71">
        <f t="shared" si="10"/>
        <v>0</v>
      </c>
      <c r="AC71">
        <f t="shared" si="10"/>
        <v>0</v>
      </c>
      <c r="AD71">
        <f t="shared" si="10"/>
        <v>0</v>
      </c>
      <c r="AE71">
        <f t="shared" si="10"/>
        <v>0</v>
      </c>
      <c r="AF71">
        <f t="shared" si="10"/>
        <v>0</v>
      </c>
      <c r="AG71">
        <f t="shared" si="10"/>
        <v>0</v>
      </c>
      <c r="AH71">
        <f t="shared" si="10"/>
        <v>0</v>
      </c>
      <c r="AI71">
        <f t="shared" si="9"/>
        <v>0</v>
      </c>
      <c r="AJ71">
        <f t="shared" si="9"/>
        <v>0</v>
      </c>
      <c r="AK71">
        <f t="shared" si="9"/>
        <v>0</v>
      </c>
      <c r="AL71">
        <f t="shared" si="9"/>
        <v>0</v>
      </c>
    </row>
    <row r="72" spans="1:38" x14ac:dyDescent="0.25">
      <c r="A72" t="s">
        <v>149</v>
      </c>
      <c r="B72" t="s">
        <v>359</v>
      </c>
      <c r="C72" t="s">
        <v>444</v>
      </c>
      <c r="D72" t="s">
        <v>337</v>
      </c>
      <c r="E72" s="9">
        <v>40963</v>
      </c>
      <c r="F72" s="9">
        <v>42058</v>
      </c>
      <c r="G72" s="2">
        <v>128520000</v>
      </c>
      <c r="H72">
        <v>120</v>
      </c>
      <c r="I72" t="s">
        <v>445</v>
      </c>
      <c r="J72" t="s">
        <v>445</v>
      </c>
      <c r="K72" s="9">
        <v>42681</v>
      </c>
      <c r="L72" s="2">
        <v>173655000</v>
      </c>
      <c r="M72">
        <v>81.099999999999994</v>
      </c>
      <c r="N72" s="2">
        <v>173655000</v>
      </c>
      <c r="O72" s="2">
        <v>17365500</v>
      </c>
      <c r="P72" t="s">
        <v>446</v>
      </c>
      <c r="Q72">
        <f t="shared" si="2"/>
        <v>2012</v>
      </c>
      <c r="R72">
        <f t="shared" si="3"/>
        <v>2015</v>
      </c>
      <c r="S72">
        <f t="shared" si="10"/>
        <v>0</v>
      </c>
      <c r="T72">
        <f t="shared" si="10"/>
        <v>0</v>
      </c>
      <c r="U72">
        <f t="shared" si="10"/>
        <v>0</v>
      </c>
      <c r="V72">
        <f t="shared" si="10"/>
        <v>0</v>
      </c>
      <c r="W72">
        <f t="shared" si="10"/>
        <v>0</v>
      </c>
      <c r="X72">
        <f t="shared" si="10"/>
        <v>0</v>
      </c>
      <c r="Y72">
        <f t="shared" si="10"/>
        <v>0</v>
      </c>
      <c r="Z72">
        <f t="shared" si="10"/>
        <v>1</v>
      </c>
      <c r="AA72">
        <f t="shared" si="10"/>
        <v>1</v>
      </c>
      <c r="AB72">
        <f t="shared" si="10"/>
        <v>1</v>
      </c>
      <c r="AC72">
        <f t="shared" si="10"/>
        <v>1</v>
      </c>
      <c r="AD72">
        <f t="shared" si="10"/>
        <v>0</v>
      </c>
      <c r="AE72">
        <f t="shared" si="10"/>
        <v>0</v>
      </c>
      <c r="AF72">
        <f t="shared" si="10"/>
        <v>0</v>
      </c>
      <c r="AG72">
        <f t="shared" si="10"/>
        <v>0</v>
      </c>
      <c r="AH72">
        <f t="shared" ref="AH72:AL87" si="11">IF(AND(AH$10 &gt;= $Q72, AH$10 &lt;= $R72), 1, 0)</f>
        <v>0</v>
      </c>
      <c r="AI72">
        <f t="shared" si="11"/>
        <v>0</v>
      </c>
      <c r="AJ72">
        <f t="shared" si="11"/>
        <v>0</v>
      </c>
      <c r="AK72">
        <f t="shared" si="11"/>
        <v>0</v>
      </c>
      <c r="AL72">
        <f t="shared" si="11"/>
        <v>0</v>
      </c>
    </row>
    <row r="73" spans="1:38" x14ac:dyDescent="0.25">
      <c r="A73" t="s">
        <v>149</v>
      </c>
      <c r="B73" t="s">
        <v>359</v>
      </c>
      <c r="C73" t="s">
        <v>444</v>
      </c>
      <c r="D73" t="s">
        <v>337</v>
      </c>
      <c r="E73" s="9">
        <v>43080</v>
      </c>
      <c r="F73" s="9">
        <v>44175</v>
      </c>
      <c r="G73" s="2">
        <v>120488000</v>
      </c>
      <c r="H73">
        <v>56.3</v>
      </c>
      <c r="I73" t="s">
        <v>445</v>
      </c>
      <c r="J73" t="s">
        <v>445</v>
      </c>
      <c r="K73" s="9">
        <v>44175</v>
      </c>
      <c r="L73" s="2">
        <v>120488000</v>
      </c>
      <c r="M73">
        <v>56.3</v>
      </c>
      <c r="N73" s="2">
        <v>120488000</v>
      </c>
      <c r="O73" s="2">
        <v>106718800</v>
      </c>
      <c r="P73" t="s">
        <v>446</v>
      </c>
      <c r="Q73">
        <f t="shared" si="2"/>
        <v>2017</v>
      </c>
      <c r="R73">
        <f t="shared" si="3"/>
        <v>2020</v>
      </c>
      <c r="S73">
        <f t="shared" ref="S73:AH88" si="12">IF(AND(S$10 &gt;= $Q73, S$10 &lt;= $R73), 1, 0)</f>
        <v>0</v>
      </c>
      <c r="T73">
        <f t="shared" si="12"/>
        <v>0</v>
      </c>
      <c r="U73">
        <f t="shared" si="12"/>
        <v>0</v>
      </c>
      <c r="V73">
        <f t="shared" si="12"/>
        <v>0</v>
      </c>
      <c r="W73">
        <f t="shared" si="12"/>
        <v>0</v>
      </c>
      <c r="X73">
        <f t="shared" si="12"/>
        <v>0</v>
      </c>
      <c r="Y73">
        <f t="shared" si="12"/>
        <v>0</v>
      </c>
      <c r="Z73">
        <f t="shared" si="12"/>
        <v>0</v>
      </c>
      <c r="AA73">
        <f t="shared" si="12"/>
        <v>0</v>
      </c>
      <c r="AB73">
        <f t="shared" si="12"/>
        <v>0</v>
      </c>
      <c r="AC73">
        <f t="shared" si="12"/>
        <v>0</v>
      </c>
      <c r="AD73">
        <f t="shared" si="12"/>
        <v>0</v>
      </c>
      <c r="AE73">
        <f t="shared" si="12"/>
        <v>1</v>
      </c>
      <c r="AF73">
        <f t="shared" si="12"/>
        <v>1</v>
      </c>
      <c r="AG73">
        <f t="shared" si="12"/>
        <v>1</v>
      </c>
      <c r="AH73">
        <f t="shared" si="12"/>
        <v>1</v>
      </c>
      <c r="AI73">
        <f t="shared" si="11"/>
        <v>0</v>
      </c>
      <c r="AJ73">
        <f t="shared" si="11"/>
        <v>0</v>
      </c>
      <c r="AK73">
        <f t="shared" si="11"/>
        <v>0</v>
      </c>
      <c r="AL73">
        <f t="shared" si="11"/>
        <v>0</v>
      </c>
    </row>
    <row r="74" spans="1:38" x14ac:dyDescent="0.25">
      <c r="A74" t="s">
        <v>150</v>
      </c>
      <c r="B74" t="s">
        <v>360</v>
      </c>
      <c r="C74" t="s">
        <v>444</v>
      </c>
      <c r="D74" t="s">
        <v>337</v>
      </c>
      <c r="E74" s="9">
        <v>40305</v>
      </c>
      <c r="F74" s="9">
        <v>41400</v>
      </c>
      <c r="G74" s="2">
        <v>22365000</v>
      </c>
      <c r="H74">
        <v>157.5</v>
      </c>
      <c r="I74" t="s">
        <v>445</v>
      </c>
      <c r="J74" t="s">
        <v>445</v>
      </c>
      <c r="K74" s="9">
        <v>41400</v>
      </c>
      <c r="L74" s="2">
        <v>22365000</v>
      </c>
      <c r="M74">
        <v>78.8</v>
      </c>
      <c r="N74" s="2">
        <v>15123000</v>
      </c>
      <c r="O74">
        <v>0</v>
      </c>
      <c r="P74" t="s">
        <v>446</v>
      </c>
      <c r="Q74">
        <f t="shared" si="2"/>
        <v>2010</v>
      </c>
      <c r="R74">
        <f t="shared" si="3"/>
        <v>2013</v>
      </c>
      <c r="S74">
        <f t="shared" si="12"/>
        <v>0</v>
      </c>
      <c r="T74">
        <f t="shared" si="12"/>
        <v>0</v>
      </c>
      <c r="U74">
        <f t="shared" si="12"/>
        <v>0</v>
      </c>
      <c r="V74">
        <f t="shared" si="12"/>
        <v>0</v>
      </c>
      <c r="W74">
        <f t="shared" si="12"/>
        <v>0</v>
      </c>
      <c r="X74">
        <f t="shared" si="12"/>
        <v>1</v>
      </c>
      <c r="Y74">
        <f t="shared" si="12"/>
        <v>1</v>
      </c>
      <c r="Z74">
        <f t="shared" si="12"/>
        <v>1</v>
      </c>
      <c r="AA74">
        <f t="shared" si="12"/>
        <v>1</v>
      </c>
      <c r="AB74">
        <f t="shared" si="12"/>
        <v>0</v>
      </c>
      <c r="AC74">
        <f t="shared" si="12"/>
        <v>0</v>
      </c>
      <c r="AD74">
        <f t="shared" si="12"/>
        <v>0</v>
      </c>
      <c r="AE74">
        <f t="shared" si="12"/>
        <v>0</v>
      </c>
      <c r="AF74">
        <f t="shared" si="12"/>
        <v>0</v>
      </c>
      <c r="AG74">
        <f t="shared" si="12"/>
        <v>0</v>
      </c>
      <c r="AH74">
        <f t="shared" si="12"/>
        <v>0</v>
      </c>
      <c r="AI74">
        <f t="shared" si="11"/>
        <v>0</v>
      </c>
      <c r="AJ74">
        <f t="shared" si="11"/>
        <v>0</v>
      </c>
      <c r="AK74">
        <f t="shared" si="11"/>
        <v>0</v>
      </c>
      <c r="AL74">
        <f t="shared" si="11"/>
        <v>0</v>
      </c>
    </row>
    <row r="75" spans="1:38" x14ac:dyDescent="0.25">
      <c r="A75" t="s">
        <v>150</v>
      </c>
      <c r="B75" t="s">
        <v>360</v>
      </c>
      <c r="C75" t="s">
        <v>444</v>
      </c>
      <c r="D75" t="s">
        <v>337</v>
      </c>
      <c r="E75" s="9">
        <v>42195</v>
      </c>
      <c r="F75" s="9">
        <v>43290</v>
      </c>
      <c r="G75" s="2">
        <v>17040000</v>
      </c>
      <c r="H75">
        <v>120</v>
      </c>
      <c r="I75" t="s">
        <v>445</v>
      </c>
      <c r="J75" t="s">
        <v>445</v>
      </c>
      <c r="K75" s="9">
        <v>43655</v>
      </c>
      <c r="L75" s="2">
        <v>22720000</v>
      </c>
      <c r="M75">
        <v>80</v>
      </c>
      <c r="N75" s="2">
        <v>17040000</v>
      </c>
      <c r="O75" s="2">
        <v>8368400</v>
      </c>
      <c r="P75" t="s">
        <v>446</v>
      </c>
      <c r="Q75">
        <f t="shared" si="2"/>
        <v>2015</v>
      </c>
      <c r="R75">
        <f t="shared" si="3"/>
        <v>2018</v>
      </c>
      <c r="S75">
        <f t="shared" si="12"/>
        <v>0</v>
      </c>
      <c r="T75">
        <f t="shared" si="12"/>
        <v>0</v>
      </c>
      <c r="U75">
        <f t="shared" si="12"/>
        <v>0</v>
      </c>
      <c r="V75">
        <f t="shared" si="12"/>
        <v>0</v>
      </c>
      <c r="W75">
        <f t="shared" si="12"/>
        <v>0</v>
      </c>
      <c r="X75">
        <f t="shared" si="12"/>
        <v>0</v>
      </c>
      <c r="Y75">
        <f t="shared" si="12"/>
        <v>0</v>
      </c>
      <c r="Z75">
        <f t="shared" si="12"/>
        <v>0</v>
      </c>
      <c r="AA75">
        <f t="shared" si="12"/>
        <v>0</v>
      </c>
      <c r="AB75">
        <f t="shared" si="12"/>
        <v>0</v>
      </c>
      <c r="AC75">
        <f t="shared" si="12"/>
        <v>1</v>
      </c>
      <c r="AD75">
        <f t="shared" si="12"/>
        <v>1</v>
      </c>
      <c r="AE75">
        <f t="shared" si="12"/>
        <v>1</v>
      </c>
      <c r="AF75">
        <f t="shared" si="12"/>
        <v>1</v>
      </c>
      <c r="AG75">
        <f t="shared" si="12"/>
        <v>0</v>
      </c>
      <c r="AH75">
        <f t="shared" si="12"/>
        <v>0</v>
      </c>
      <c r="AI75">
        <f t="shared" si="11"/>
        <v>0</v>
      </c>
      <c r="AJ75">
        <f t="shared" si="11"/>
        <v>0</v>
      </c>
      <c r="AK75">
        <f t="shared" si="11"/>
        <v>0</v>
      </c>
      <c r="AL75">
        <f t="shared" si="11"/>
        <v>0</v>
      </c>
    </row>
    <row r="76" spans="1:38" x14ac:dyDescent="0.25">
      <c r="A76" t="s">
        <v>150</v>
      </c>
      <c r="B76" t="s">
        <v>360</v>
      </c>
      <c r="C76" t="s">
        <v>444</v>
      </c>
      <c r="D76" t="s">
        <v>337</v>
      </c>
      <c r="E76" s="9">
        <v>44956</v>
      </c>
      <c r="F76" s="9">
        <v>46051</v>
      </c>
      <c r="G76" s="2">
        <v>28400000</v>
      </c>
      <c r="H76">
        <v>100</v>
      </c>
      <c r="I76" t="s">
        <v>445</v>
      </c>
      <c r="J76" t="s">
        <v>445</v>
      </c>
      <c r="K76" s="9">
        <v>46051</v>
      </c>
      <c r="L76" s="2">
        <v>39760000</v>
      </c>
      <c r="M76">
        <v>140</v>
      </c>
      <c r="N76" s="2">
        <v>30310000</v>
      </c>
      <c r="O76" s="2">
        <v>30310000</v>
      </c>
      <c r="P76" t="s">
        <v>451</v>
      </c>
      <c r="Q76">
        <f t="shared" ref="Q76:Q139" si="13">YEAR(E76)</f>
        <v>2023</v>
      </c>
      <c r="R76">
        <f t="shared" ref="R76:R139" si="14">MIN(YEAR(F76), 2024)</f>
        <v>2024</v>
      </c>
      <c r="S76">
        <f t="shared" si="12"/>
        <v>0</v>
      </c>
      <c r="T76">
        <f t="shared" si="12"/>
        <v>0</v>
      </c>
      <c r="U76">
        <f t="shared" si="12"/>
        <v>0</v>
      </c>
      <c r="V76">
        <f t="shared" si="12"/>
        <v>0</v>
      </c>
      <c r="W76">
        <f t="shared" si="12"/>
        <v>0</v>
      </c>
      <c r="X76">
        <f t="shared" si="12"/>
        <v>0</v>
      </c>
      <c r="Y76">
        <f t="shared" si="12"/>
        <v>0</v>
      </c>
      <c r="Z76">
        <f t="shared" si="12"/>
        <v>0</v>
      </c>
      <c r="AA76">
        <f t="shared" si="12"/>
        <v>0</v>
      </c>
      <c r="AB76">
        <f t="shared" si="12"/>
        <v>0</v>
      </c>
      <c r="AC76">
        <f t="shared" si="12"/>
        <v>0</v>
      </c>
      <c r="AD76">
        <f t="shared" si="12"/>
        <v>0</v>
      </c>
      <c r="AE76">
        <f t="shared" si="12"/>
        <v>0</v>
      </c>
      <c r="AF76">
        <f t="shared" si="12"/>
        <v>0</v>
      </c>
      <c r="AG76">
        <f t="shared" si="12"/>
        <v>0</v>
      </c>
      <c r="AH76">
        <f t="shared" si="12"/>
        <v>0</v>
      </c>
      <c r="AI76">
        <f t="shared" si="11"/>
        <v>0</v>
      </c>
      <c r="AJ76">
        <f t="shared" si="11"/>
        <v>0</v>
      </c>
      <c r="AK76">
        <f t="shared" si="11"/>
        <v>1</v>
      </c>
      <c r="AL76">
        <f t="shared" si="11"/>
        <v>1</v>
      </c>
    </row>
    <row r="77" spans="1:38" x14ac:dyDescent="0.25">
      <c r="A77" t="s">
        <v>151</v>
      </c>
      <c r="B77" t="s">
        <v>361</v>
      </c>
      <c r="C77" t="s">
        <v>444</v>
      </c>
      <c r="D77" t="s">
        <v>337</v>
      </c>
      <c r="E77" s="9">
        <v>39041</v>
      </c>
      <c r="F77" s="9">
        <v>40136</v>
      </c>
      <c r="G77" s="2">
        <v>73710000</v>
      </c>
      <c r="H77">
        <v>90</v>
      </c>
      <c r="I77" t="s">
        <v>445</v>
      </c>
      <c r="J77" t="s">
        <v>445</v>
      </c>
      <c r="K77" s="9">
        <v>40207</v>
      </c>
      <c r="L77" s="2">
        <v>180180000</v>
      </c>
      <c r="M77">
        <v>110</v>
      </c>
      <c r="N77" s="2">
        <v>180180000</v>
      </c>
      <c r="O77">
        <v>0</v>
      </c>
      <c r="P77" t="s">
        <v>446</v>
      </c>
      <c r="Q77">
        <f t="shared" si="13"/>
        <v>2006</v>
      </c>
      <c r="R77">
        <f t="shared" si="14"/>
        <v>2009</v>
      </c>
      <c r="S77">
        <f t="shared" si="12"/>
        <v>0</v>
      </c>
      <c r="T77">
        <f t="shared" si="12"/>
        <v>1</v>
      </c>
      <c r="U77">
        <f t="shared" si="12"/>
        <v>1</v>
      </c>
      <c r="V77">
        <f t="shared" si="12"/>
        <v>1</v>
      </c>
      <c r="W77">
        <f t="shared" si="12"/>
        <v>1</v>
      </c>
      <c r="X77">
        <f t="shared" si="12"/>
        <v>0</v>
      </c>
      <c r="Y77">
        <f t="shared" si="12"/>
        <v>0</v>
      </c>
      <c r="Z77">
        <f t="shared" si="12"/>
        <v>0</v>
      </c>
      <c r="AA77">
        <f t="shared" si="12"/>
        <v>0</v>
      </c>
      <c r="AB77">
        <f t="shared" si="12"/>
        <v>0</v>
      </c>
      <c r="AC77">
        <f t="shared" si="12"/>
        <v>0</v>
      </c>
      <c r="AD77">
        <f t="shared" si="12"/>
        <v>0</v>
      </c>
      <c r="AE77">
        <f t="shared" si="12"/>
        <v>0</v>
      </c>
      <c r="AF77">
        <f t="shared" si="12"/>
        <v>0</v>
      </c>
      <c r="AG77">
        <f t="shared" si="12"/>
        <v>0</v>
      </c>
      <c r="AH77">
        <f t="shared" si="12"/>
        <v>0</v>
      </c>
      <c r="AI77">
        <f t="shared" si="11"/>
        <v>0</v>
      </c>
      <c r="AJ77">
        <f t="shared" si="11"/>
        <v>0</v>
      </c>
      <c r="AK77">
        <f t="shared" si="11"/>
        <v>0</v>
      </c>
      <c r="AL77">
        <f t="shared" si="11"/>
        <v>0</v>
      </c>
    </row>
    <row r="78" spans="1:38" x14ac:dyDescent="0.25">
      <c r="A78" t="s">
        <v>151</v>
      </c>
      <c r="B78" t="s">
        <v>361</v>
      </c>
      <c r="C78" t="s">
        <v>444</v>
      </c>
      <c r="D78" t="s">
        <v>337</v>
      </c>
      <c r="E78" s="9">
        <v>40380</v>
      </c>
      <c r="F78" s="9">
        <v>41475</v>
      </c>
      <c r="G78" s="2">
        <v>40950000</v>
      </c>
      <c r="H78">
        <v>50</v>
      </c>
      <c r="I78" t="s">
        <v>445</v>
      </c>
      <c r="J78" t="s">
        <v>445</v>
      </c>
      <c r="K78" s="9">
        <v>41997</v>
      </c>
      <c r="L78" s="2">
        <v>40950000</v>
      </c>
      <c r="M78">
        <v>25</v>
      </c>
      <c r="N78" s="2">
        <v>40950000</v>
      </c>
      <c r="O78">
        <v>0</v>
      </c>
      <c r="P78" t="s">
        <v>446</v>
      </c>
      <c r="Q78">
        <f t="shared" si="13"/>
        <v>2010</v>
      </c>
      <c r="R78">
        <f t="shared" si="14"/>
        <v>2013</v>
      </c>
      <c r="S78">
        <f t="shared" si="12"/>
        <v>0</v>
      </c>
      <c r="T78">
        <f t="shared" si="12"/>
        <v>0</v>
      </c>
      <c r="U78">
        <f t="shared" si="12"/>
        <v>0</v>
      </c>
      <c r="V78">
        <f t="shared" si="12"/>
        <v>0</v>
      </c>
      <c r="W78">
        <f t="shared" si="12"/>
        <v>0</v>
      </c>
      <c r="X78">
        <f t="shared" si="12"/>
        <v>1</v>
      </c>
      <c r="Y78">
        <f t="shared" si="12"/>
        <v>1</v>
      </c>
      <c r="Z78">
        <f t="shared" si="12"/>
        <v>1</v>
      </c>
      <c r="AA78">
        <f t="shared" si="12"/>
        <v>1</v>
      </c>
      <c r="AB78">
        <f t="shared" si="12"/>
        <v>0</v>
      </c>
      <c r="AC78">
        <f t="shared" si="12"/>
        <v>0</v>
      </c>
      <c r="AD78">
        <f t="shared" si="12"/>
        <v>0</v>
      </c>
      <c r="AE78">
        <f t="shared" si="12"/>
        <v>0</v>
      </c>
      <c r="AF78">
        <f t="shared" si="12"/>
        <v>0</v>
      </c>
      <c r="AG78">
        <f t="shared" si="12"/>
        <v>0</v>
      </c>
      <c r="AH78">
        <f t="shared" si="12"/>
        <v>0</v>
      </c>
      <c r="AI78">
        <f t="shared" si="11"/>
        <v>0</v>
      </c>
      <c r="AJ78">
        <f t="shared" si="11"/>
        <v>0</v>
      </c>
      <c r="AK78">
        <f t="shared" si="11"/>
        <v>0</v>
      </c>
      <c r="AL78">
        <f t="shared" si="11"/>
        <v>0</v>
      </c>
    </row>
    <row r="79" spans="1:38" x14ac:dyDescent="0.25">
      <c r="A79" t="s">
        <v>151</v>
      </c>
      <c r="B79" t="s">
        <v>361</v>
      </c>
      <c r="C79" t="s">
        <v>444</v>
      </c>
      <c r="D79" t="s">
        <v>337</v>
      </c>
      <c r="E79" s="9">
        <v>42142</v>
      </c>
      <c r="F79" s="9">
        <v>43237</v>
      </c>
      <c r="G79" s="2">
        <v>49140000</v>
      </c>
      <c r="H79">
        <v>60</v>
      </c>
      <c r="I79" t="s">
        <v>445</v>
      </c>
      <c r="J79" t="s">
        <v>445</v>
      </c>
      <c r="K79" s="9">
        <v>42691</v>
      </c>
      <c r="L79" s="2">
        <v>49140000</v>
      </c>
      <c r="M79">
        <v>30</v>
      </c>
      <c r="N79" s="2">
        <v>7020000</v>
      </c>
      <c r="O79" s="2">
        <v>702000</v>
      </c>
      <c r="P79" t="s">
        <v>446</v>
      </c>
      <c r="Q79">
        <f t="shared" si="13"/>
        <v>2015</v>
      </c>
      <c r="R79">
        <f t="shared" si="14"/>
        <v>2018</v>
      </c>
      <c r="S79">
        <f t="shared" si="12"/>
        <v>0</v>
      </c>
      <c r="T79">
        <f t="shared" si="12"/>
        <v>0</v>
      </c>
      <c r="U79">
        <f t="shared" si="12"/>
        <v>0</v>
      </c>
      <c r="V79">
        <f t="shared" si="12"/>
        <v>0</v>
      </c>
      <c r="W79">
        <f t="shared" si="12"/>
        <v>0</v>
      </c>
      <c r="X79">
        <f t="shared" si="12"/>
        <v>0</v>
      </c>
      <c r="Y79">
        <f t="shared" si="12"/>
        <v>0</v>
      </c>
      <c r="Z79">
        <f t="shared" si="12"/>
        <v>0</v>
      </c>
      <c r="AA79">
        <f t="shared" si="12"/>
        <v>0</v>
      </c>
      <c r="AB79">
        <f t="shared" si="12"/>
        <v>0</v>
      </c>
      <c r="AC79">
        <f t="shared" si="12"/>
        <v>1</v>
      </c>
      <c r="AD79">
        <f t="shared" si="12"/>
        <v>1</v>
      </c>
      <c r="AE79">
        <f t="shared" si="12"/>
        <v>1</v>
      </c>
      <c r="AF79">
        <f t="shared" si="12"/>
        <v>1</v>
      </c>
      <c r="AG79">
        <f t="shared" si="12"/>
        <v>0</v>
      </c>
      <c r="AH79">
        <f t="shared" si="12"/>
        <v>0</v>
      </c>
      <c r="AI79">
        <f t="shared" si="11"/>
        <v>0</v>
      </c>
      <c r="AJ79">
        <f t="shared" si="11"/>
        <v>0</v>
      </c>
      <c r="AK79">
        <f t="shared" si="11"/>
        <v>0</v>
      </c>
      <c r="AL79">
        <f t="shared" si="11"/>
        <v>0</v>
      </c>
    </row>
    <row r="80" spans="1:38" x14ac:dyDescent="0.25">
      <c r="A80" t="s">
        <v>152</v>
      </c>
      <c r="B80" t="s">
        <v>362</v>
      </c>
      <c r="C80" t="s">
        <v>444</v>
      </c>
      <c r="D80" t="s">
        <v>364</v>
      </c>
      <c r="E80" s="9">
        <v>40452</v>
      </c>
      <c r="F80" s="9">
        <v>40999</v>
      </c>
      <c r="G80" s="2">
        <v>64750000</v>
      </c>
      <c r="H80">
        <v>50</v>
      </c>
      <c r="I80" t="s">
        <v>455</v>
      </c>
      <c r="J80" t="s">
        <v>445</v>
      </c>
      <c r="K80" s="9">
        <v>40999</v>
      </c>
      <c r="L80" s="2">
        <v>64750000</v>
      </c>
      <c r="M80">
        <v>25.9</v>
      </c>
      <c r="N80">
        <v>0</v>
      </c>
      <c r="O80">
        <v>0</v>
      </c>
      <c r="P80" t="s">
        <v>446</v>
      </c>
      <c r="Q80">
        <f t="shared" si="13"/>
        <v>2010</v>
      </c>
      <c r="R80">
        <f t="shared" si="14"/>
        <v>2012</v>
      </c>
      <c r="S80">
        <f t="shared" si="12"/>
        <v>0</v>
      </c>
      <c r="T80">
        <f t="shared" si="12"/>
        <v>0</v>
      </c>
      <c r="U80">
        <f t="shared" si="12"/>
        <v>0</v>
      </c>
      <c r="V80">
        <f t="shared" si="12"/>
        <v>0</v>
      </c>
      <c r="W80">
        <f t="shared" si="12"/>
        <v>0</v>
      </c>
      <c r="X80">
        <f t="shared" si="12"/>
        <v>1</v>
      </c>
      <c r="Y80">
        <f t="shared" si="12"/>
        <v>1</v>
      </c>
      <c r="Z80">
        <f t="shared" si="12"/>
        <v>1</v>
      </c>
      <c r="AA80">
        <f t="shared" si="12"/>
        <v>0</v>
      </c>
      <c r="AB80">
        <f t="shared" si="12"/>
        <v>0</v>
      </c>
      <c r="AC80">
        <f t="shared" si="12"/>
        <v>0</v>
      </c>
      <c r="AD80">
        <f t="shared" si="12"/>
        <v>0</v>
      </c>
      <c r="AE80">
        <f t="shared" si="12"/>
        <v>0</v>
      </c>
      <c r="AF80">
        <f t="shared" si="12"/>
        <v>0</v>
      </c>
      <c r="AG80">
        <f t="shared" si="12"/>
        <v>0</v>
      </c>
      <c r="AH80">
        <f t="shared" si="12"/>
        <v>0</v>
      </c>
      <c r="AI80">
        <f t="shared" si="11"/>
        <v>0</v>
      </c>
      <c r="AJ80">
        <f t="shared" si="11"/>
        <v>0</v>
      </c>
      <c r="AK80">
        <f t="shared" si="11"/>
        <v>0</v>
      </c>
      <c r="AL80">
        <f t="shared" si="11"/>
        <v>0</v>
      </c>
    </row>
    <row r="81" spans="1:38" x14ac:dyDescent="0.25">
      <c r="A81" t="s">
        <v>152</v>
      </c>
      <c r="B81" t="s">
        <v>362</v>
      </c>
      <c r="C81" t="s">
        <v>444</v>
      </c>
      <c r="D81" t="s">
        <v>364</v>
      </c>
      <c r="E81" s="9">
        <v>41976</v>
      </c>
      <c r="F81" s="9">
        <v>42706</v>
      </c>
      <c r="G81" s="2">
        <v>51800000</v>
      </c>
      <c r="H81">
        <v>40</v>
      </c>
      <c r="I81" t="s">
        <v>455</v>
      </c>
      <c r="J81" t="s">
        <v>445</v>
      </c>
      <c r="K81" s="9">
        <v>42706</v>
      </c>
      <c r="L81" s="2">
        <v>51800000</v>
      </c>
      <c r="M81">
        <v>20.7</v>
      </c>
      <c r="N81">
        <v>0</v>
      </c>
      <c r="O81">
        <v>0</v>
      </c>
      <c r="P81" t="s">
        <v>446</v>
      </c>
      <c r="Q81">
        <f t="shared" si="13"/>
        <v>2014</v>
      </c>
      <c r="R81">
        <f t="shared" si="14"/>
        <v>2016</v>
      </c>
      <c r="S81">
        <f t="shared" si="12"/>
        <v>0</v>
      </c>
      <c r="T81">
        <f t="shared" si="12"/>
        <v>0</v>
      </c>
      <c r="U81">
        <f t="shared" si="12"/>
        <v>0</v>
      </c>
      <c r="V81">
        <f t="shared" si="12"/>
        <v>0</v>
      </c>
      <c r="W81">
        <f t="shared" si="12"/>
        <v>0</v>
      </c>
      <c r="X81">
        <f t="shared" si="12"/>
        <v>0</v>
      </c>
      <c r="Y81">
        <f t="shared" si="12"/>
        <v>0</v>
      </c>
      <c r="Z81">
        <f t="shared" si="12"/>
        <v>0</v>
      </c>
      <c r="AA81">
        <f t="shared" si="12"/>
        <v>0</v>
      </c>
      <c r="AB81">
        <f t="shared" si="12"/>
        <v>1</v>
      </c>
      <c r="AC81">
        <f t="shared" si="12"/>
        <v>1</v>
      </c>
      <c r="AD81">
        <f t="shared" si="12"/>
        <v>1</v>
      </c>
      <c r="AE81">
        <f t="shared" si="12"/>
        <v>0</v>
      </c>
      <c r="AF81">
        <f t="shared" si="12"/>
        <v>0</v>
      </c>
      <c r="AG81">
        <f t="shared" si="12"/>
        <v>0</v>
      </c>
      <c r="AH81">
        <f t="shared" si="12"/>
        <v>0</v>
      </c>
      <c r="AI81">
        <f t="shared" si="11"/>
        <v>0</v>
      </c>
      <c r="AJ81">
        <f t="shared" si="11"/>
        <v>0</v>
      </c>
      <c r="AK81">
        <f t="shared" si="11"/>
        <v>0</v>
      </c>
      <c r="AL81">
        <f t="shared" si="11"/>
        <v>0</v>
      </c>
    </row>
    <row r="82" spans="1:38" x14ac:dyDescent="0.25">
      <c r="A82" t="s">
        <v>152</v>
      </c>
      <c r="B82" t="s">
        <v>362</v>
      </c>
      <c r="C82" t="s">
        <v>444</v>
      </c>
      <c r="D82" t="s">
        <v>364</v>
      </c>
      <c r="E82" s="9">
        <v>43661</v>
      </c>
      <c r="F82" s="9">
        <v>44391</v>
      </c>
      <c r="G82" s="2">
        <v>74940000</v>
      </c>
      <c r="H82">
        <v>30</v>
      </c>
      <c r="I82" t="s">
        <v>455</v>
      </c>
      <c r="J82" t="s">
        <v>445</v>
      </c>
      <c r="K82" s="9">
        <v>44575</v>
      </c>
      <c r="L82" s="2">
        <v>179023000</v>
      </c>
      <c r="M82">
        <v>71.7</v>
      </c>
      <c r="N82" s="2">
        <v>143218000</v>
      </c>
      <c r="O82" s="2">
        <v>120088444</v>
      </c>
      <c r="P82" t="s">
        <v>446</v>
      </c>
      <c r="Q82">
        <f t="shared" si="13"/>
        <v>2019</v>
      </c>
      <c r="R82">
        <f t="shared" si="14"/>
        <v>2021</v>
      </c>
      <c r="S82">
        <f t="shared" si="12"/>
        <v>0</v>
      </c>
      <c r="T82">
        <f t="shared" si="12"/>
        <v>0</v>
      </c>
      <c r="U82">
        <f t="shared" si="12"/>
        <v>0</v>
      </c>
      <c r="V82">
        <f t="shared" si="12"/>
        <v>0</v>
      </c>
      <c r="W82">
        <f t="shared" si="12"/>
        <v>0</v>
      </c>
      <c r="X82">
        <f t="shared" si="12"/>
        <v>0</v>
      </c>
      <c r="Y82">
        <f t="shared" si="12"/>
        <v>0</v>
      </c>
      <c r="Z82">
        <f t="shared" si="12"/>
        <v>0</v>
      </c>
      <c r="AA82">
        <f t="shared" si="12"/>
        <v>0</v>
      </c>
      <c r="AB82">
        <f t="shared" si="12"/>
        <v>0</v>
      </c>
      <c r="AC82">
        <f t="shared" si="12"/>
        <v>0</v>
      </c>
      <c r="AD82">
        <f t="shared" si="12"/>
        <v>0</v>
      </c>
      <c r="AE82">
        <f t="shared" si="12"/>
        <v>0</v>
      </c>
      <c r="AF82">
        <f t="shared" si="12"/>
        <v>0</v>
      </c>
      <c r="AG82">
        <f t="shared" si="12"/>
        <v>1</v>
      </c>
      <c r="AH82">
        <f t="shared" si="12"/>
        <v>1</v>
      </c>
      <c r="AI82">
        <f t="shared" si="11"/>
        <v>1</v>
      </c>
      <c r="AJ82">
        <f t="shared" si="11"/>
        <v>0</v>
      </c>
      <c r="AK82">
        <f t="shared" si="11"/>
        <v>0</v>
      </c>
      <c r="AL82">
        <f t="shared" si="11"/>
        <v>0</v>
      </c>
    </row>
    <row r="83" spans="1:38" x14ac:dyDescent="0.25">
      <c r="A83" t="s">
        <v>152</v>
      </c>
      <c r="B83" t="s">
        <v>362</v>
      </c>
      <c r="C83" t="s">
        <v>444</v>
      </c>
      <c r="D83" t="s">
        <v>337</v>
      </c>
      <c r="E83" s="9">
        <v>45190</v>
      </c>
      <c r="F83" s="9">
        <v>46285</v>
      </c>
      <c r="G83" s="2">
        <v>208200000</v>
      </c>
      <c r="H83">
        <v>83.3</v>
      </c>
      <c r="I83" t="s">
        <v>445</v>
      </c>
      <c r="J83" t="s">
        <v>445</v>
      </c>
      <c r="K83" s="9">
        <v>46285</v>
      </c>
      <c r="L83" s="2">
        <v>208200000</v>
      </c>
      <c r="M83">
        <v>83.3</v>
      </c>
      <c r="N83" s="2">
        <v>79750000</v>
      </c>
      <c r="O83" s="2">
        <v>79750000</v>
      </c>
      <c r="P83" t="s">
        <v>451</v>
      </c>
      <c r="Q83">
        <f t="shared" si="13"/>
        <v>2023</v>
      </c>
      <c r="R83">
        <f t="shared" si="14"/>
        <v>2024</v>
      </c>
      <c r="S83">
        <f t="shared" si="12"/>
        <v>0</v>
      </c>
      <c r="T83">
        <f t="shared" si="12"/>
        <v>0</v>
      </c>
      <c r="U83">
        <f t="shared" si="12"/>
        <v>0</v>
      </c>
      <c r="V83">
        <f t="shared" si="12"/>
        <v>0</v>
      </c>
      <c r="W83">
        <f t="shared" si="12"/>
        <v>0</v>
      </c>
      <c r="X83">
        <f t="shared" si="12"/>
        <v>0</v>
      </c>
      <c r="Y83">
        <f t="shared" si="12"/>
        <v>0</v>
      </c>
      <c r="Z83">
        <f t="shared" si="12"/>
        <v>0</v>
      </c>
      <c r="AA83">
        <f t="shared" si="12"/>
        <v>0</v>
      </c>
      <c r="AB83">
        <f t="shared" si="12"/>
        <v>0</v>
      </c>
      <c r="AC83">
        <f t="shared" si="12"/>
        <v>0</v>
      </c>
      <c r="AD83">
        <f t="shared" si="12"/>
        <v>0</v>
      </c>
      <c r="AE83">
        <f t="shared" si="12"/>
        <v>0</v>
      </c>
      <c r="AF83">
        <f t="shared" si="12"/>
        <v>0</v>
      </c>
      <c r="AG83">
        <f t="shared" si="12"/>
        <v>0</v>
      </c>
      <c r="AH83">
        <f t="shared" si="12"/>
        <v>0</v>
      </c>
      <c r="AI83">
        <f t="shared" si="11"/>
        <v>0</v>
      </c>
      <c r="AJ83">
        <f t="shared" si="11"/>
        <v>0</v>
      </c>
      <c r="AK83">
        <f t="shared" si="11"/>
        <v>1</v>
      </c>
      <c r="AL83">
        <f t="shared" si="11"/>
        <v>1</v>
      </c>
    </row>
    <row r="84" spans="1:38" x14ac:dyDescent="0.25">
      <c r="A84" t="s">
        <v>153</v>
      </c>
      <c r="B84" t="s">
        <v>365</v>
      </c>
      <c r="C84" t="s">
        <v>444</v>
      </c>
      <c r="D84" t="s">
        <v>337</v>
      </c>
      <c r="E84" s="9">
        <v>40574</v>
      </c>
      <c r="F84" s="9">
        <v>41669</v>
      </c>
      <c r="G84" s="2">
        <v>325680000</v>
      </c>
      <c r="H84">
        <v>120</v>
      </c>
      <c r="I84" t="s">
        <v>445</v>
      </c>
      <c r="J84" t="s">
        <v>445</v>
      </c>
      <c r="K84" s="9">
        <v>41627</v>
      </c>
      <c r="L84" s="2">
        <v>488520000</v>
      </c>
      <c r="M84">
        <v>90</v>
      </c>
      <c r="N84" s="2">
        <v>488520000</v>
      </c>
      <c r="O84">
        <v>0</v>
      </c>
      <c r="P84" t="s">
        <v>446</v>
      </c>
      <c r="Q84">
        <f t="shared" si="13"/>
        <v>2011</v>
      </c>
      <c r="R84">
        <f t="shared" si="14"/>
        <v>2014</v>
      </c>
      <c r="S84">
        <f t="shared" si="12"/>
        <v>0</v>
      </c>
      <c r="T84">
        <f t="shared" si="12"/>
        <v>0</v>
      </c>
      <c r="U84">
        <f t="shared" si="12"/>
        <v>0</v>
      </c>
      <c r="V84">
        <f t="shared" si="12"/>
        <v>0</v>
      </c>
      <c r="W84">
        <f t="shared" si="12"/>
        <v>0</v>
      </c>
      <c r="X84">
        <f t="shared" si="12"/>
        <v>0</v>
      </c>
      <c r="Y84">
        <f t="shared" si="12"/>
        <v>1</v>
      </c>
      <c r="Z84">
        <f t="shared" si="12"/>
        <v>1</v>
      </c>
      <c r="AA84">
        <f t="shared" si="12"/>
        <v>1</v>
      </c>
      <c r="AB84">
        <f t="shared" si="12"/>
        <v>1</v>
      </c>
      <c r="AC84">
        <f t="shared" si="12"/>
        <v>0</v>
      </c>
      <c r="AD84">
        <f t="shared" si="12"/>
        <v>0</v>
      </c>
      <c r="AE84">
        <f t="shared" si="12"/>
        <v>0</v>
      </c>
      <c r="AF84">
        <f t="shared" si="12"/>
        <v>0</v>
      </c>
      <c r="AG84">
        <f t="shared" si="12"/>
        <v>0</v>
      </c>
      <c r="AH84">
        <f t="shared" si="12"/>
        <v>0</v>
      </c>
      <c r="AI84">
        <f t="shared" si="11"/>
        <v>0</v>
      </c>
      <c r="AJ84">
        <f t="shared" si="11"/>
        <v>0</v>
      </c>
      <c r="AK84">
        <f t="shared" si="11"/>
        <v>0</v>
      </c>
      <c r="AL84">
        <f t="shared" si="11"/>
        <v>0</v>
      </c>
    </row>
    <row r="85" spans="1:38" x14ac:dyDescent="0.25">
      <c r="A85" t="s">
        <v>153</v>
      </c>
      <c r="B85" t="s">
        <v>365</v>
      </c>
      <c r="C85" t="s">
        <v>444</v>
      </c>
      <c r="D85" t="s">
        <v>364</v>
      </c>
      <c r="E85" s="9">
        <v>42037</v>
      </c>
      <c r="F85" s="9">
        <v>42401</v>
      </c>
      <c r="G85" s="2">
        <v>135700000</v>
      </c>
      <c r="H85">
        <v>50</v>
      </c>
      <c r="I85" t="s">
        <v>455</v>
      </c>
      <c r="J85" t="s">
        <v>445</v>
      </c>
      <c r="K85" s="9">
        <v>42443</v>
      </c>
      <c r="L85" s="2">
        <v>135700000</v>
      </c>
      <c r="M85">
        <v>25</v>
      </c>
      <c r="N85">
        <v>0</v>
      </c>
      <c r="O85">
        <v>0</v>
      </c>
      <c r="P85" t="s">
        <v>446</v>
      </c>
      <c r="Q85">
        <f t="shared" si="13"/>
        <v>2015</v>
      </c>
      <c r="R85">
        <f t="shared" si="14"/>
        <v>2016</v>
      </c>
      <c r="S85">
        <f t="shared" si="12"/>
        <v>0</v>
      </c>
      <c r="T85">
        <f t="shared" si="12"/>
        <v>0</v>
      </c>
      <c r="U85">
        <f t="shared" si="12"/>
        <v>0</v>
      </c>
      <c r="V85">
        <f t="shared" si="12"/>
        <v>0</v>
      </c>
      <c r="W85">
        <f t="shared" si="12"/>
        <v>0</v>
      </c>
      <c r="X85">
        <f t="shared" si="12"/>
        <v>0</v>
      </c>
      <c r="Y85">
        <f t="shared" si="12"/>
        <v>0</v>
      </c>
      <c r="Z85">
        <f t="shared" si="12"/>
        <v>0</v>
      </c>
      <c r="AA85">
        <f t="shared" si="12"/>
        <v>0</v>
      </c>
      <c r="AB85">
        <f t="shared" si="12"/>
        <v>0</v>
      </c>
      <c r="AC85">
        <f t="shared" si="12"/>
        <v>1</v>
      </c>
      <c r="AD85">
        <f t="shared" si="12"/>
        <v>1</v>
      </c>
      <c r="AE85">
        <f t="shared" si="12"/>
        <v>0</v>
      </c>
      <c r="AF85">
        <f t="shared" si="12"/>
        <v>0</v>
      </c>
      <c r="AG85">
        <f t="shared" si="12"/>
        <v>0</v>
      </c>
      <c r="AH85">
        <f t="shared" si="12"/>
        <v>0</v>
      </c>
      <c r="AI85">
        <f t="shared" si="11"/>
        <v>0</v>
      </c>
      <c r="AJ85">
        <f t="shared" si="11"/>
        <v>0</v>
      </c>
      <c r="AK85">
        <f t="shared" si="11"/>
        <v>0</v>
      </c>
      <c r="AL85">
        <f t="shared" si="11"/>
        <v>0</v>
      </c>
    </row>
    <row r="86" spans="1:38" x14ac:dyDescent="0.25">
      <c r="A86" t="s">
        <v>153</v>
      </c>
      <c r="B86" t="s">
        <v>365</v>
      </c>
      <c r="C86" t="s">
        <v>444</v>
      </c>
      <c r="D86" t="s">
        <v>364</v>
      </c>
      <c r="E86" s="9">
        <v>42443</v>
      </c>
      <c r="F86" s="9">
        <v>43172</v>
      </c>
      <c r="G86" s="2">
        <v>354629000</v>
      </c>
      <c r="H86">
        <v>65.3</v>
      </c>
      <c r="I86" t="s">
        <v>455</v>
      </c>
      <c r="J86" t="s">
        <v>445</v>
      </c>
      <c r="K86" s="9">
        <v>43172</v>
      </c>
      <c r="L86" s="2">
        <v>354629000</v>
      </c>
      <c r="M86">
        <v>65.3</v>
      </c>
      <c r="N86">
        <v>0</v>
      </c>
      <c r="O86">
        <v>0</v>
      </c>
      <c r="P86" t="s">
        <v>446</v>
      </c>
      <c r="Q86">
        <f t="shared" si="13"/>
        <v>2016</v>
      </c>
      <c r="R86">
        <f t="shared" si="14"/>
        <v>2018</v>
      </c>
      <c r="S86">
        <f t="shared" si="12"/>
        <v>0</v>
      </c>
      <c r="T86">
        <f t="shared" si="12"/>
        <v>0</v>
      </c>
      <c r="U86">
        <f t="shared" si="12"/>
        <v>0</v>
      </c>
      <c r="V86">
        <f t="shared" si="12"/>
        <v>0</v>
      </c>
      <c r="W86">
        <f t="shared" si="12"/>
        <v>0</v>
      </c>
      <c r="X86">
        <f t="shared" si="12"/>
        <v>0</v>
      </c>
      <c r="Y86">
        <f t="shared" si="12"/>
        <v>0</v>
      </c>
      <c r="Z86">
        <f t="shared" si="12"/>
        <v>0</v>
      </c>
      <c r="AA86">
        <f t="shared" si="12"/>
        <v>0</v>
      </c>
      <c r="AB86">
        <f t="shared" si="12"/>
        <v>0</v>
      </c>
      <c r="AC86">
        <f t="shared" si="12"/>
        <v>0</v>
      </c>
      <c r="AD86">
        <f t="shared" si="12"/>
        <v>1</v>
      </c>
      <c r="AE86">
        <f t="shared" si="12"/>
        <v>1</v>
      </c>
      <c r="AF86">
        <f t="shared" si="12"/>
        <v>1</v>
      </c>
      <c r="AG86">
        <f t="shared" si="12"/>
        <v>0</v>
      </c>
      <c r="AH86">
        <f t="shared" si="12"/>
        <v>0</v>
      </c>
      <c r="AI86">
        <f t="shared" si="11"/>
        <v>0</v>
      </c>
      <c r="AJ86">
        <f t="shared" si="11"/>
        <v>0</v>
      </c>
      <c r="AK86">
        <f t="shared" si="11"/>
        <v>0</v>
      </c>
      <c r="AL86">
        <f t="shared" si="11"/>
        <v>0</v>
      </c>
    </row>
    <row r="87" spans="1:38" x14ac:dyDescent="0.25">
      <c r="A87" t="s">
        <v>153</v>
      </c>
      <c r="B87" t="s">
        <v>365</v>
      </c>
      <c r="C87" t="s">
        <v>444</v>
      </c>
      <c r="D87" t="s">
        <v>337</v>
      </c>
      <c r="E87" s="9">
        <v>44288</v>
      </c>
      <c r="F87" s="9">
        <v>45444</v>
      </c>
      <c r="G87" s="2">
        <v>407090000</v>
      </c>
      <c r="H87">
        <v>75</v>
      </c>
      <c r="I87" t="s">
        <v>445</v>
      </c>
      <c r="J87" t="s">
        <v>445</v>
      </c>
      <c r="K87" s="9">
        <v>45748</v>
      </c>
      <c r="L87" s="2">
        <v>904700000</v>
      </c>
      <c r="M87">
        <v>166.7</v>
      </c>
      <c r="N87" s="2">
        <v>824360000</v>
      </c>
      <c r="O87" s="2">
        <v>824360000</v>
      </c>
      <c r="P87" t="s">
        <v>451</v>
      </c>
      <c r="Q87">
        <f t="shared" si="13"/>
        <v>2021</v>
      </c>
      <c r="R87">
        <f t="shared" si="14"/>
        <v>2024</v>
      </c>
      <c r="S87">
        <f t="shared" si="12"/>
        <v>0</v>
      </c>
      <c r="T87">
        <f t="shared" si="12"/>
        <v>0</v>
      </c>
      <c r="U87">
        <f t="shared" si="12"/>
        <v>0</v>
      </c>
      <c r="V87">
        <f t="shared" si="12"/>
        <v>0</v>
      </c>
      <c r="W87">
        <f t="shared" si="12"/>
        <v>0</v>
      </c>
      <c r="X87">
        <f t="shared" si="12"/>
        <v>0</v>
      </c>
      <c r="Y87">
        <f t="shared" si="12"/>
        <v>0</v>
      </c>
      <c r="Z87">
        <f t="shared" si="12"/>
        <v>0</v>
      </c>
      <c r="AA87">
        <f t="shared" si="12"/>
        <v>0</v>
      </c>
      <c r="AB87">
        <f t="shared" si="12"/>
        <v>0</v>
      </c>
      <c r="AC87">
        <f t="shared" si="12"/>
        <v>0</v>
      </c>
      <c r="AD87">
        <f t="shared" si="12"/>
        <v>0</v>
      </c>
      <c r="AE87">
        <f t="shared" si="12"/>
        <v>0</v>
      </c>
      <c r="AF87">
        <f t="shared" si="12"/>
        <v>0</v>
      </c>
      <c r="AG87">
        <f t="shared" si="12"/>
        <v>0</v>
      </c>
      <c r="AH87">
        <f t="shared" si="12"/>
        <v>0</v>
      </c>
      <c r="AI87">
        <f t="shared" si="11"/>
        <v>1</v>
      </c>
      <c r="AJ87">
        <f t="shared" si="11"/>
        <v>1</v>
      </c>
      <c r="AK87">
        <f t="shared" si="11"/>
        <v>1</v>
      </c>
      <c r="AL87">
        <f t="shared" si="11"/>
        <v>1</v>
      </c>
    </row>
    <row r="88" spans="1:38" x14ac:dyDescent="0.25">
      <c r="A88" t="s">
        <v>157</v>
      </c>
      <c r="B88" t="s">
        <v>366</v>
      </c>
      <c r="C88" t="s">
        <v>444</v>
      </c>
      <c r="D88" t="s">
        <v>337</v>
      </c>
      <c r="E88" s="9">
        <v>38426</v>
      </c>
      <c r="F88" s="9">
        <v>39521</v>
      </c>
      <c r="G88" s="2">
        <v>8880000</v>
      </c>
      <c r="H88">
        <v>10</v>
      </c>
      <c r="I88" t="s">
        <v>445</v>
      </c>
      <c r="J88" t="s">
        <v>445</v>
      </c>
      <c r="K88" s="9">
        <v>39598</v>
      </c>
      <c r="L88" s="2">
        <v>17760000</v>
      </c>
      <c r="M88">
        <v>10</v>
      </c>
      <c r="N88" s="2">
        <v>17760000</v>
      </c>
      <c r="O88">
        <v>0</v>
      </c>
      <c r="P88" t="s">
        <v>446</v>
      </c>
      <c r="Q88">
        <f t="shared" si="13"/>
        <v>2005</v>
      </c>
      <c r="R88">
        <f t="shared" si="14"/>
        <v>2008</v>
      </c>
      <c r="S88">
        <f t="shared" si="12"/>
        <v>1</v>
      </c>
      <c r="T88">
        <f t="shared" si="12"/>
        <v>1</v>
      </c>
      <c r="U88">
        <f t="shared" si="12"/>
        <v>1</v>
      </c>
      <c r="V88">
        <f t="shared" si="12"/>
        <v>1</v>
      </c>
      <c r="W88">
        <f t="shared" si="12"/>
        <v>0</v>
      </c>
      <c r="X88">
        <f t="shared" si="12"/>
        <v>0</v>
      </c>
      <c r="Y88">
        <f t="shared" si="12"/>
        <v>0</v>
      </c>
      <c r="Z88">
        <f t="shared" si="12"/>
        <v>0</v>
      </c>
      <c r="AA88">
        <f t="shared" si="12"/>
        <v>0</v>
      </c>
      <c r="AB88">
        <f t="shared" si="12"/>
        <v>0</v>
      </c>
      <c r="AC88">
        <f t="shared" si="12"/>
        <v>0</v>
      </c>
      <c r="AD88">
        <f t="shared" si="12"/>
        <v>0</v>
      </c>
      <c r="AE88">
        <f t="shared" si="12"/>
        <v>0</v>
      </c>
      <c r="AF88">
        <f t="shared" si="12"/>
        <v>0</v>
      </c>
      <c r="AG88">
        <f t="shared" si="12"/>
        <v>0</v>
      </c>
      <c r="AH88">
        <f t="shared" ref="AH88:AL103" si="15">IF(AND(AH$10 &gt;= $Q88, AH$10 &lt;= $R88), 1, 0)</f>
        <v>0</v>
      </c>
      <c r="AI88">
        <f t="shared" si="15"/>
        <v>0</v>
      </c>
      <c r="AJ88">
        <f t="shared" si="15"/>
        <v>0</v>
      </c>
      <c r="AK88">
        <f t="shared" si="15"/>
        <v>0</v>
      </c>
      <c r="AL88">
        <f t="shared" si="15"/>
        <v>0</v>
      </c>
    </row>
    <row r="89" spans="1:38" x14ac:dyDescent="0.25">
      <c r="A89" t="s">
        <v>157</v>
      </c>
      <c r="B89" t="s">
        <v>366</v>
      </c>
      <c r="C89" t="s">
        <v>444</v>
      </c>
      <c r="D89" t="s">
        <v>453</v>
      </c>
      <c r="E89" s="9">
        <v>39792</v>
      </c>
      <c r="F89" s="9">
        <v>40338</v>
      </c>
      <c r="G89" s="2">
        <v>66600000</v>
      </c>
      <c r="H89">
        <v>75</v>
      </c>
      <c r="I89" t="s">
        <v>445</v>
      </c>
      <c r="J89" t="s">
        <v>445</v>
      </c>
      <c r="K89" s="9">
        <v>40338</v>
      </c>
      <c r="L89" s="2">
        <v>66600000</v>
      </c>
      <c r="M89">
        <v>37.5</v>
      </c>
      <c r="N89" s="2">
        <v>33300000</v>
      </c>
      <c r="O89">
        <v>0</v>
      </c>
      <c r="P89" t="s">
        <v>446</v>
      </c>
      <c r="Q89">
        <f t="shared" si="13"/>
        <v>2008</v>
      </c>
      <c r="R89">
        <f t="shared" si="14"/>
        <v>2010</v>
      </c>
      <c r="S89">
        <f t="shared" ref="S89:AH104" si="16">IF(AND(S$10 &gt;= $Q89, S$10 &lt;= $R89), 1, 0)</f>
        <v>0</v>
      </c>
      <c r="T89">
        <f t="shared" si="16"/>
        <v>0</v>
      </c>
      <c r="U89">
        <f t="shared" si="16"/>
        <v>0</v>
      </c>
      <c r="V89">
        <f t="shared" si="16"/>
        <v>1</v>
      </c>
      <c r="W89">
        <f t="shared" si="16"/>
        <v>1</v>
      </c>
      <c r="X89">
        <f t="shared" si="16"/>
        <v>1</v>
      </c>
      <c r="Y89">
        <f t="shared" si="16"/>
        <v>0</v>
      </c>
      <c r="Z89">
        <f t="shared" si="16"/>
        <v>0</v>
      </c>
      <c r="AA89">
        <f t="shared" si="16"/>
        <v>0</v>
      </c>
      <c r="AB89">
        <f t="shared" si="16"/>
        <v>0</v>
      </c>
      <c r="AC89">
        <f t="shared" si="16"/>
        <v>0</v>
      </c>
      <c r="AD89">
        <f t="shared" si="16"/>
        <v>0</v>
      </c>
      <c r="AE89">
        <f t="shared" si="16"/>
        <v>0</v>
      </c>
      <c r="AF89">
        <f t="shared" si="16"/>
        <v>0</v>
      </c>
      <c r="AG89">
        <f t="shared" si="16"/>
        <v>0</v>
      </c>
      <c r="AH89">
        <f t="shared" si="16"/>
        <v>0</v>
      </c>
      <c r="AI89">
        <f t="shared" si="15"/>
        <v>0</v>
      </c>
      <c r="AJ89">
        <f t="shared" si="15"/>
        <v>0</v>
      </c>
      <c r="AK89">
        <f t="shared" si="15"/>
        <v>0</v>
      </c>
      <c r="AL89">
        <f t="shared" si="15"/>
        <v>0</v>
      </c>
    </row>
    <row r="90" spans="1:38" x14ac:dyDescent="0.25">
      <c r="A90" t="s">
        <v>157</v>
      </c>
      <c r="B90" t="s">
        <v>366</v>
      </c>
      <c r="C90" t="s">
        <v>444</v>
      </c>
      <c r="D90" t="s">
        <v>337</v>
      </c>
      <c r="E90" s="9">
        <v>40714</v>
      </c>
      <c r="F90" s="9">
        <v>41809</v>
      </c>
      <c r="G90" s="2">
        <v>66600000</v>
      </c>
      <c r="H90">
        <v>75</v>
      </c>
      <c r="I90" t="s">
        <v>445</v>
      </c>
      <c r="J90" t="s">
        <v>445</v>
      </c>
      <c r="K90" s="9">
        <v>41827</v>
      </c>
      <c r="L90" s="2">
        <v>66600000</v>
      </c>
      <c r="M90">
        <v>37.5</v>
      </c>
      <c r="N90" s="2">
        <v>66600000</v>
      </c>
      <c r="O90">
        <v>0</v>
      </c>
      <c r="P90" t="s">
        <v>446</v>
      </c>
      <c r="Q90">
        <f t="shared" si="13"/>
        <v>2011</v>
      </c>
      <c r="R90">
        <f t="shared" si="14"/>
        <v>2014</v>
      </c>
      <c r="S90">
        <f t="shared" si="16"/>
        <v>0</v>
      </c>
      <c r="T90">
        <f t="shared" si="16"/>
        <v>0</v>
      </c>
      <c r="U90">
        <f t="shared" si="16"/>
        <v>0</v>
      </c>
      <c r="V90">
        <f t="shared" si="16"/>
        <v>0</v>
      </c>
      <c r="W90">
        <f t="shared" si="16"/>
        <v>0</v>
      </c>
      <c r="X90">
        <f t="shared" si="16"/>
        <v>0</v>
      </c>
      <c r="Y90">
        <f t="shared" si="16"/>
        <v>1</v>
      </c>
      <c r="Z90">
        <f t="shared" si="16"/>
        <v>1</v>
      </c>
      <c r="AA90">
        <f t="shared" si="16"/>
        <v>1</v>
      </c>
      <c r="AB90">
        <f t="shared" si="16"/>
        <v>1</v>
      </c>
      <c r="AC90">
        <f t="shared" si="16"/>
        <v>0</v>
      </c>
      <c r="AD90">
        <f t="shared" si="16"/>
        <v>0</v>
      </c>
      <c r="AE90">
        <f t="shared" si="16"/>
        <v>0</v>
      </c>
      <c r="AF90">
        <f t="shared" si="16"/>
        <v>0</v>
      </c>
      <c r="AG90">
        <f t="shared" si="16"/>
        <v>0</v>
      </c>
      <c r="AH90">
        <f t="shared" si="16"/>
        <v>0</v>
      </c>
      <c r="AI90">
        <f t="shared" si="15"/>
        <v>0</v>
      </c>
      <c r="AJ90">
        <f t="shared" si="15"/>
        <v>0</v>
      </c>
      <c r="AK90">
        <f t="shared" si="15"/>
        <v>0</v>
      </c>
      <c r="AL90">
        <f t="shared" si="15"/>
        <v>0</v>
      </c>
    </row>
    <row r="91" spans="1:38" x14ac:dyDescent="0.25">
      <c r="A91" t="s">
        <v>157</v>
      </c>
      <c r="B91" t="s">
        <v>366</v>
      </c>
      <c r="C91" t="s">
        <v>444</v>
      </c>
      <c r="D91" t="s">
        <v>337</v>
      </c>
      <c r="E91" s="9">
        <v>42102</v>
      </c>
      <c r="F91" s="9">
        <v>43197</v>
      </c>
      <c r="G91" s="2">
        <v>66600000</v>
      </c>
      <c r="H91">
        <v>75</v>
      </c>
      <c r="I91" t="s">
        <v>445</v>
      </c>
      <c r="J91" t="s">
        <v>445</v>
      </c>
      <c r="K91" s="9">
        <v>43197</v>
      </c>
      <c r="L91" s="2">
        <v>66600000</v>
      </c>
      <c r="M91">
        <v>37.5</v>
      </c>
      <c r="N91" s="2">
        <v>57084000</v>
      </c>
      <c r="O91" s="2">
        <v>20930800</v>
      </c>
      <c r="P91" t="s">
        <v>446</v>
      </c>
      <c r="Q91">
        <f t="shared" si="13"/>
        <v>2015</v>
      </c>
      <c r="R91">
        <f t="shared" si="14"/>
        <v>2018</v>
      </c>
      <c r="S91">
        <f t="shared" si="16"/>
        <v>0</v>
      </c>
      <c r="T91">
        <f t="shared" si="16"/>
        <v>0</v>
      </c>
      <c r="U91">
        <f t="shared" si="16"/>
        <v>0</v>
      </c>
      <c r="V91">
        <f t="shared" si="16"/>
        <v>0</v>
      </c>
      <c r="W91">
        <f t="shared" si="16"/>
        <v>0</v>
      </c>
      <c r="X91">
        <f t="shared" si="16"/>
        <v>0</v>
      </c>
      <c r="Y91">
        <f t="shared" si="16"/>
        <v>0</v>
      </c>
      <c r="Z91">
        <f t="shared" si="16"/>
        <v>0</v>
      </c>
      <c r="AA91">
        <f t="shared" si="16"/>
        <v>0</v>
      </c>
      <c r="AB91">
        <f t="shared" si="16"/>
        <v>0</v>
      </c>
      <c r="AC91">
        <f t="shared" si="16"/>
        <v>1</v>
      </c>
      <c r="AD91">
        <f t="shared" si="16"/>
        <v>1</v>
      </c>
      <c r="AE91">
        <f t="shared" si="16"/>
        <v>1</v>
      </c>
      <c r="AF91">
        <f t="shared" si="16"/>
        <v>1</v>
      </c>
      <c r="AG91">
        <f t="shared" si="16"/>
        <v>0</v>
      </c>
      <c r="AH91">
        <f t="shared" si="16"/>
        <v>0</v>
      </c>
      <c r="AI91">
        <f t="shared" si="15"/>
        <v>0</v>
      </c>
      <c r="AJ91">
        <f t="shared" si="15"/>
        <v>0</v>
      </c>
      <c r="AK91">
        <f t="shared" si="15"/>
        <v>0</v>
      </c>
      <c r="AL91">
        <f t="shared" si="15"/>
        <v>0</v>
      </c>
    </row>
    <row r="92" spans="1:38" x14ac:dyDescent="0.25">
      <c r="A92" t="s">
        <v>160</v>
      </c>
      <c r="B92" t="s">
        <v>367</v>
      </c>
      <c r="C92" t="s">
        <v>444</v>
      </c>
      <c r="D92" t="s">
        <v>337</v>
      </c>
      <c r="E92" s="9">
        <v>40331</v>
      </c>
      <c r="F92" s="9">
        <v>41426</v>
      </c>
      <c r="G92" s="2">
        <v>41880000</v>
      </c>
      <c r="H92">
        <v>120</v>
      </c>
      <c r="I92" t="s">
        <v>445</v>
      </c>
      <c r="J92" t="s">
        <v>445</v>
      </c>
      <c r="K92" s="9">
        <v>41534</v>
      </c>
      <c r="L92" s="2">
        <v>50605000</v>
      </c>
      <c r="M92">
        <v>72.5</v>
      </c>
      <c r="N92" s="2">
        <v>50605000</v>
      </c>
      <c r="O92">
        <v>0</v>
      </c>
      <c r="P92" t="s">
        <v>446</v>
      </c>
      <c r="Q92">
        <f t="shared" si="13"/>
        <v>2010</v>
      </c>
      <c r="R92">
        <f t="shared" si="14"/>
        <v>2013</v>
      </c>
      <c r="S92">
        <f t="shared" si="16"/>
        <v>0</v>
      </c>
      <c r="T92">
        <f t="shared" si="16"/>
        <v>0</v>
      </c>
      <c r="U92">
        <f t="shared" si="16"/>
        <v>0</v>
      </c>
      <c r="V92">
        <f t="shared" si="16"/>
        <v>0</v>
      </c>
      <c r="W92">
        <f t="shared" si="16"/>
        <v>0</v>
      </c>
      <c r="X92">
        <f t="shared" si="16"/>
        <v>1</v>
      </c>
      <c r="Y92">
        <f t="shared" si="16"/>
        <v>1</v>
      </c>
      <c r="Z92">
        <f t="shared" si="16"/>
        <v>1</v>
      </c>
      <c r="AA92">
        <f t="shared" si="16"/>
        <v>1</v>
      </c>
      <c r="AB92">
        <f t="shared" si="16"/>
        <v>0</v>
      </c>
      <c r="AC92">
        <f t="shared" si="16"/>
        <v>0</v>
      </c>
      <c r="AD92">
        <f t="shared" si="16"/>
        <v>0</v>
      </c>
      <c r="AE92">
        <f t="shared" si="16"/>
        <v>0</v>
      </c>
      <c r="AF92">
        <f t="shared" si="16"/>
        <v>0</v>
      </c>
      <c r="AG92">
        <f t="shared" si="16"/>
        <v>0</v>
      </c>
      <c r="AH92">
        <f t="shared" si="16"/>
        <v>0</v>
      </c>
      <c r="AI92">
        <f t="shared" si="15"/>
        <v>0</v>
      </c>
      <c r="AJ92">
        <f t="shared" si="15"/>
        <v>0</v>
      </c>
      <c r="AK92">
        <f t="shared" si="15"/>
        <v>0</v>
      </c>
      <c r="AL92">
        <f t="shared" si="15"/>
        <v>0</v>
      </c>
    </row>
    <row r="93" spans="1:38" x14ac:dyDescent="0.25">
      <c r="A93" t="s">
        <v>161</v>
      </c>
      <c r="B93" t="s">
        <v>368</v>
      </c>
      <c r="C93" t="s">
        <v>444</v>
      </c>
      <c r="D93" t="s">
        <v>337</v>
      </c>
      <c r="E93" s="9">
        <v>39521</v>
      </c>
      <c r="F93" s="9">
        <v>40615</v>
      </c>
      <c r="G93" s="2">
        <v>239020000</v>
      </c>
      <c r="H93">
        <v>185</v>
      </c>
      <c r="I93" t="s">
        <v>445</v>
      </c>
      <c r="J93" t="s">
        <v>445</v>
      </c>
      <c r="K93" s="9">
        <v>41046</v>
      </c>
      <c r="L93" s="2">
        <v>247900000</v>
      </c>
      <c r="M93">
        <v>95.9</v>
      </c>
      <c r="N93" s="2">
        <v>247900000</v>
      </c>
      <c r="O93">
        <v>0</v>
      </c>
      <c r="P93" t="s">
        <v>446</v>
      </c>
      <c r="Q93">
        <f t="shared" si="13"/>
        <v>2008</v>
      </c>
      <c r="R93">
        <f t="shared" si="14"/>
        <v>2011</v>
      </c>
      <c r="S93">
        <f t="shared" si="16"/>
        <v>0</v>
      </c>
      <c r="T93">
        <f t="shared" si="16"/>
        <v>0</v>
      </c>
      <c r="U93">
        <f t="shared" si="16"/>
        <v>0</v>
      </c>
      <c r="V93">
        <f t="shared" si="16"/>
        <v>1</v>
      </c>
      <c r="W93">
        <f t="shared" si="16"/>
        <v>1</v>
      </c>
      <c r="X93">
        <f t="shared" si="16"/>
        <v>1</v>
      </c>
      <c r="Y93">
        <f t="shared" si="16"/>
        <v>1</v>
      </c>
      <c r="Z93">
        <f t="shared" si="16"/>
        <v>0</v>
      </c>
      <c r="AA93">
        <f t="shared" si="16"/>
        <v>0</v>
      </c>
      <c r="AB93">
        <f t="shared" si="16"/>
        <v>0</v>
      </c>
      <c r="AC93">
        <f t="shared" si="16"/>
        <v>0</v>
      </c>
      <c r="AD93">
        <f t="shared" si="16"/>
        <v>0</v>
      </c>
      <c r="AE93">
        <f t="shared" si="16"/>
        <v>0</v>
      </c>
      <c r="AF93">
        <f t="shared" si="16"/>
        <v>0</v>
      </c>
      <c r="AG93">
        <f t="shared" si="16"/>
        <v>0</v>
      </c>
      <c r="AH93">
        <f t="shared" si="16"/>
        <v>0</v>
      </c>
      <c r="AI93">
        <f t="shared" si="15"/>
        <v>0</v>
      </c>
      <c r="AJ93">
        <f t="shared" si="15"/>
        <v>0</v>
      </c>
      <c r="AK93">
        <f t="shared" si="15"/>
        <v>0</v>
      </c>
      <c r="AL93">
        <f t="shared" si="15"/>
        <v>0</v>
      </c>
    </row>
    <row r="94" spans="1:38" x14ac:dyDescent="0.25">
      <c r="A94" t="s">
        <v>161</v>
      </c>
      <c r="B94" t="s">
        <v>368</v>
      </c>
      <c r="C94" t="s">
        <v>444</v>
      </c>
      <c r="D94" t="s">
        <v>337</v>
      </c>
      <c r="E94" s="9">
        <v>41232</v>
      </c>
      <c r="F94" s="9">
        <v>42326</v>
      </c>
      <c r="G94" s="2">
        <v>51680000</v>
      </c>
      <c r="H94">
        <v>40</v>
      </c>
      <c r="I94" t="s">
        <v>445</v>
      </c>
      <c r="J94" t="s">
        <v>445</v>
      </c>
      <c r="K94" s="9">
        <v>43056</v>
      </c>
      <c r="L94" s="2">
        <v>111664000</v>
      </c>
      <c r="M94">
        <v>43.2</v>
      </c>
      <c r="N94" s="2">
        <v>111664000</v>
      </c>
      <c r="O94" s="2">
        <v>21410800</v>
      </c>
      <c r="P94" t="s">
        <v>446</v>
      </c>
      <c r="Q94">
        <f t="shared" si="13"/>
        <v>2012</v>
      </c>
      <c r="R94">
        <f t="shared" si="14"/>
        <v>2015</v>
      </c>
      <c r="S94">
        <f t="shared" si="16"/>
        <v>0</v>
      </c>
      <c r="T94">
        <f t="shared" si="16"/>
        <v>0</v>
      </c>
      <c r="U94">
        <f t="shared" si="16"/>
        <v>0</v>
      </c>
      <c r="V94">
        <f t="shared" si="16"/>
        <v>0</v>
      </c>
      <c r="W94">
        <f t="shared" si="16"/>
        <v>0</v>
      </c>
      <c r="X94">
        <f t="shared" si="16"/>
        <v>0</v>
      </c>
      <c r="Y94">
        <f t="shared" si="16"/>
        <v>0</v>
      </c>
      <c r="Z94">
        <f t="shared" si="16"/>
        <v>1</v>
      </c>
      <c r="AA94">
        <f t="shared" si="16"/>
        <v>1</v>
      </c>
      <c r="AB94">
        <f t="shared" si="16"/>
        <v>1</v>
      </c>
      <c r="AC94">
        <f t="shared" si="16"/>
        <v>1</v>
      </c>
      <c r="AD94">
        <f t="shared" si="16"/>
        <v>0</v>
      </c>
      <c r="AE94">
        <f t="shared" si="16"/>
        <v>0</v>
      </c>
      <c r="AF94">
        <f t="shared" si="16"/>
        <v>0</v>
      </c>
      <c r="AG94">
        <f t="shared" si="16"/>
        <v>0</v>
      </c>
      <c r="AH94">
        <f t="shared" si="16"/>
        <v>0</v>
      </c>
      <c r="AI94">
        <f t="shared" si="15"/>
        <v>0</v>
      </c>
      <c r="AJ94">
        <f t="shared" si="15"/>
        <v>0</v>
      </c>
      <c r="AK94">
        <f t="shared" si="15"/>
        <v>0</v>
      </c>
      <c r="AL94">
        <f t="shared" si="15"/>
        <v>0</v>
      </c>
    </row>
    <row r="95" spans="1:38" x14ac:dyDescent="0.25">
      <c r="A95" t="s">
        <v>161</v>
      </c>
      <c r="B95" t="s">
        <v>368</v>
      </c>
      <c r="C95" t="s">
        <v>444</v>
      </c>
      <c r="D95" t="s">
        <v>337</v>
      </c>
      <c r="E95" s="9">
        <v>43810</v>
      </c>
      <c r="F95" s="9">
        <v>45270</v>
      </c>
      <c r="G95" s="2">
        <v>155000000</v>
      </c>
      <c r="H95">
        <v>60</v>
      </c>
      <c r="I95" t="s">
        <v>445</v>
      </c>
      <c r="J95" t="s">
        <v>445</v>
      </c>
      <c r="K95" s="9">
        <v>45270</v>
      </c>
      <c r="L95" s="2">
        <v>155000000</v>
      </c>
      <c r="M95">
        <v>60</v>
      </c>
      <c r="N95" s="2">
        <v>85000000</v>
      </c>
      <c r="O95" s="2">
        <v>85000000</v>
      </c>
      <c r="P95" t="s">
        <v>446</v>
      </c>
      <c r="Q95">
        <f t="shared" si="13"/>
        <v>2019</v>
      </c>
      <c r="R95">
        <f t="shared" si="14"/>
        <v>2023</v>
      </c>
      <c r="S95">
        <f t="shared" si="16"/>
        <v>0</v>
      </c>
      <c r="T95">
        <f t="shared" si="16"/>
        <v>0</v>
      </c>
      <c r="U95">
        <f t="shared" si="16"/>
        <v>0</v>
      </c>
      <c r="V95">
        <f t="shared" si="16"/>
        <v>0</v>
      </c>
      <c r="W95">
        <f t="shared" si="16"/>
        <v>0</v>
      </c>
      <c r="X95">
        <f t="shared" si="16"/>
        <v>0</v>
      </c>
      <c r="Y95">
        <f t="shared" si="16"/>
        <v>0</v>
      </c>
      <c r="Z95">
        <f t="shared" si="16"/>
        <v>0</v>
      </c>
      <c r="AA95">
        <f t="shared" si="16"/>
        <v>0</v>
      </c>
      <c r="AB95">
        <f t="shared" si="16"/>
        <v>0</v>
      </c>
      <c r="AC95">
        <f t="shared" si="16"/>
        <v>0</v>
      </c>
      <c r="AD95">
        <f t="shared" si="16"/>
        <v>0</v>
      </c>
      <c r="AE95">
        <f t="shared" si="16"/>
        <v>0</v>
      </c>
      <c r="AF95">
        <f t="shared" si="16"/>
        <v>0</v>
      </c>
      <c r="AG95">
        <f t="shared" si="16"/>
        <v>1</v>
      </c>
      <c r="AH95">
        <f t="shared" si="16"/>
        <v>1</v>
      </c>
      <c r="AI95">
        <f t="shared" si="15"/>
        <v>1</v>
      </c>
      <c r="AJ95">
        <f t="shared" si="15"/>
        <v>1</v>
      </c>
      <c r="AK95">
        <f t="shared" si="15"/>
        <v>1</v>
      </c>
      <c r="AL95">
        <f t="shared" si="15"/>
        <v>0</v>
      </c>
    </row>
    <row r="96" spans="1:38" x14ac:dyDescent="0.25">
      <c r="A96" t="s">
        <v>161</v>
      </c>
      <c r="B96" t="s">
        <v>368</v>
      </c>
      <c r="C96" t="s">
        <v>444</v>
      </c>
      <c r="D96" t="s">
        <v>337</v>
      </c>
      <c r="E96" s="9">
        <v>45560</v>
      </c>
      <c r="F96" s="9">
        <v>46776</v>
      </c>
      <c r="G96" s="2">
        <v>155000000</v>
      </c>
      <c r="H96">
        <v>60</v>
      </c>
      <c r="I96" t="s">
        <v>445</v>
      </c>
      <c r="J96" t="s">
        <v>445</v>
      </c>
      <c r="K96" s="9">
        <v>46776</v>
      </c>
      <c r="L96" s="2">
        <v>155000000</v>
      </c>
      <c r="M96">
        <v>60</v>
      </c>
      <c r="N96" s="2">
        <v>4300000</v>
      </c>
      <c r="O96" s="2">
        <v>4300000</v>
      </c>
      <c r="P96" t="s">
        <v>451</v>
      </c>
      <c r="Q96">
        <f t="shared" si="13"/>
        <v>2024</v>
      </c>
      <c r="R96">
        <f t="shared" si="14"/>
        <v>2024</v>
      </c>
      <c r="S96">
        <f t="shared" si="16"/>
        <v>0</v>
      </c>
      <c r="T96">
        <f t="shared" si="16"/>
        <v>0</v>
      </c>
      <c r="U96">
        <f t="shared" si="16"/>
        <v>0</v>
      </c>
      <c r="V96">
        <f t="shared" si="16"/>
        <v>0</v>
      </c>
      <c r="W96">
        <f t="shared" si="16"/>
        <v>0</v>
      </c>
      <c r="X96">
        <f t="shared" si="16"/>
        <v>0</v>
      </c>
      <c r="Y96">
        <f t="shared" si="16"/>
        <v>0</v>
      </c>
      <c r="Z96">
        <f t="shared" si="16"/>
        <v>0</v>
      </c>
      <c r="AA96">
        <f t="shared" si="16"/>
        <v>0</v>
      </c>
      <c r="AB96">
        <f t="shared" si="16"/>
        <v>0</v>
      </c>
      <c r="AC96">
        <f t="shared" si="16"/>
        <v>0</v>
      </c>
      <c r="AD96">
        <f t="shared" si="16"/>
        <v>0</v>
      </c>
      <c r="AE96">
        <f t="shared" si="16"/>
        <v>0</v>
      </c>
      <c r="AF96">
        <f t="shared" si="16"/>
        <v>0</v>
      </c>
      <c r="AG96">
        <f t="shared" si="16"/>
        <v>0</v>
      </c>
      <c r="AH96">
        <f t="shared" si="16"/>
        <v>0</v>
      </c>
      <c r="AI96">
        <f t="shared" si="15"/>
        <v>0</v>
      </c>
      <c r="AJ96">
        <f t="shared" si="15"/>
        <v>0</v>
      </c>
      <c r="AK96">
        <f t="shared" si="15"/>
        <v>0</v>
      </c>
      <c r="AL96">
        <f t="shared" si="15"/>
        <v>1</v>
      </c>
    </row>
    <row r="97" spans="1:38" x14ac:dyDescent="0.25">
      <c r="A97" t="s">
        <v>162</v>
      </c>
      <c r="B97" t="s">
        <v>369</v>
      </c>
      <c r="C97" t="s">
        <v>444</v>
      </c>
      <c r="D97" t="s">
        <v>337</v>
      </c>
      <c r="E97" s="9">
        <v>38919</v>
      </c>
      <c r="F97" s="9">
        <v>40014</v>
      </c>
      <c r="G97" s="2">
        <v>54990000</v>
      </c>
      <c r="H97">
        <v>45</v>
      </c>
      <c r="I97" t="s">
        <v>445</v>
      </c>
      <c r="J97" t="s">
        <v>445</v>
      </c>
      <c r="K97" s="9">
        <v>40014</v>
      </c>
      <c r="L97" s="2">
        <v>73320000</v>
      </c>
      <c r="M97">
        <v>30</v>
      </c>
      <c r="N97" s="2">
        <v>53030000</v>
      </c>
      <c r="O97">
        <v>0</v>
      </c>
      <c r="P97" t="s">
        <v>446</v>
      </c>
      <c r="Q97">
        <f t="shared" si="13"/>
        <v>2006</v>
      </c>
      <c r="R97">
        <f t="shared" si="14"/>
        <v>2009</v>
      </c>
      <c r="S97">
        <f t="shared" si="16"/>
        <v>0</v>
      </c>
      <c r="T97">
        <f t="shared" si="16"/>
        <v>1</v>
      </c>
      <c r="U97">
        <f t="shared" si="16"/>
        <v>1</v>
      </c>
      <c r="V97">
        <f t="shared" si="16"/>
        <v>1</v>
      </c>
      <c r="W97">
        <f t="shared" si="16"/>
        <v>1</v>
      </c>
      <c r="X97">
        <f t="shared" si="16"/>
        <v>0</v>
      </c>
      <c r="Y97">
        <f t="shared" si="16"/>
        <v>0</v>
      </c>
      <c r="Z97">
        <f t="shared" si="16"/>
        <v>0</v>
      </c>
      <c r="AA97">
        <f t="shared" si="16"/>
        <v>0</v>
      </c>
      <c r="AB97">
        <f t="shared" si="16"/>
        <v>0</v>
      </c>
      <c r="AC97">
        <f t="shared" si="16"/>
        <v>0</v>
      </c>
      <c r="AD97">
        <f t="shared" si="16"/>
        <v>0</v>
      </c>
      <c r="AE97">
        <f t="shared" si="16"/>
        <v>0</v>
      </c>
      <c r="AF97">
        <f t="shared" si="16"/>
        <v>0</v>
      </c>
      <c r="AG97">
        <f t="shared" si="16"/>
        <v>0</v>
      </c>
      <c r="AH97">
        <f t="shared" si="16"/>
        <v>0</v>
      </c>
      <c r="AI97">
        <f t="shared" si="15"/>
        <v>0</v>
      </c>
      <c r="AJ97">
        <f t="shared" si="15"/>
        <v>0</v>
      </c>
      <c r="AK97">
        <f t="shared" si="15"/>
        <v>0</v>
      </c>
      <c r="AL97">
        <f t="shared" si="15"/>
        <v>0</v>
      </c>
    </row>
    <row r="98" spans="1:38" x14ac:dyDescent="0.25">
      <c r="A98" t="s">
        <v>162</v>
      </c>
      <c r="B98" t="s">
        <v>369</v>
      </c>
      <c r="C98" t="s">
        <v>444</v>
      </c>
      <c r="D98" t="s">
        <v>337</v>
      </c>
      <c r="E98" s="9">
        <v>42578</v>
      </c>
      <c r="F98" s="9">
        <v>43795</v>
      </c>
      <c r="G98" s="2">
        <v>220000000</v>
      </c>
      <c r="H98">
        <v>180</v>
      </c>
      <c r="I98" t="s">
        <v>445</v>
      </c>
      <c r="J98" t="s">
        <v>445</v>
      </c>
      <c r="K98" s="9">
        <v>43867</v>
      </c>
      <c r="L98" s="2">
        <v>250550000</v>
      </c>
      <c r="M98">
        <v>102.5</v>
      </c>
      <c r="N98" s="2">
        <v>250550000</v>
      </c>
      <c r="O98" s="2">
        <v>184902400</v>
      </c>
      <c r="P98" t="s">
        <v>446</v>
      </c>
      <c r="Q98">
        <f t="shared" si="13"/>
        <v>2016</v>
      </c>
      <c r="R98">
        <f t="shared" si="14"/>
        <v>2019</v>
      </c>
      <c r="S98">
        <f t="shared" si="16"/>
        <v>0</v>
      </c>
      <c r="T98">
        <f t="shared" si="16"/>
        <v>0</v>
      </c>
      <c r="U98">
        <f t="shared" si="16"/>
        <v>0</v>
      </c>
      <c r="V98">
        <f t="shared" si="16"/>
        <v>0</v>
      </c>
      <c r="W98">
        <f t="shared" si="16"/>
        <v>0</v>
      </c>
      <c r="X98">
        <f t="shared" si="16"/>
        <v>0</v>
      </c>
      <c r="Y98">
        <f t="shared" si="16"/>
        <v>0</v>
      </c>
      <c r="Z98">
        <f t="shared" si="16"/>
        <v>0</v>
      </c>
      <c r="AA98">
        <f t="shared" si="16"/>
        <v>0</v>
      </c>
      <c r="AB98">
        <f t="shared" si="16"/>
        <v>0</v>
      </c>
      <c r="AC98">
        <f t="shared" si="16"/>
        <v>0</v>
      </c>
      <c r="AD98">
        <f t="shared" si="16"/>
        <v>1</v>
      </c>
      <c r="AE98">
        <f t="shared" si="16"/>
        <v>1</v>
      </c>
      <c r="AF98">
        <f t="shared" si="16"/>
        <v>1</v>
      </c>
      <c r="AG98">
        <f t="shared" si="16"/>
        <v>1</v>
      </c>
      <c r="AH98">
        <f t="shared" si="16"/>
        <v>0</v>
      </c>
      <c r="AI98">
        <f t="shared" si="15"/>
        <v>0</v>
      </c>
      <c r="AJ98">
        <f t="shared" si="15"/>
        <v>0</v>
      </c>
      <c r="AK98">
        <f t="shared" si="15"/>
        <v>0</v>
      </c>
      <c r="AL98">
        <f t="shared" si="15"/>
        <v>0</v>
      </c>
    </row>
    <row r="99" spans="1:38" x14ac:dyDescent="0.25">
      <c r="A99" t="s">
        <v>162</v>
      </c>
      <c r="B99" t="s">
        <v>369</v>
      </c>
      <c r="C99" t="s">
        <v>444</v>
      </c>
      <c r="D99" t="s">
        <v>337</v>
      </c>
      <c r="E99" s="9">
        <v>44284</v>
      </c>
      <c r="F99" s="9">
        <v>45501</v>
      </c>
      <c r="G99" s="2">
        <v>219960000</v>
      </c>
      <c r="H99">
        <v>90</v>
      </c>
      <c r="I99" t="s">
        <v>445</v>
      </c>
      <c r="J99" t="s">
        <v>445</v>
      </c>
      <c r="K99" s="9">
        <v>45450</v>
      </c>
      <c r="L99" s="2">
        <v>219960000</v>
      </c>
      <c r="M99">
        <v>90</v>
      </c>
      <c r="N99" s="2">
        <v>171080000</v>
      </c>
      <c r="O99" s="2">
        <v>171080000</v>
      </c>
      <c r="P99" t="s">
        <v>446</v>
      </c>
      <c r="Q99">
        <f t="shared" si="13"/>
        <v>2021</v>
      </c>
      <c r="R99">
        <f t="shared" si="14"/>
        <v>2024</v>
      </c>
      <c r="S99">
        <f t="shared" si="16"/>
        <v>0</v>
      </c>
      <c r="T99">
        <f t="shared" si="16"/>
        <v>0</v>
      </c>
      <c r="U99">
        <f t="shared" si="16"/>
        <v>0</v>
      </c>
      <c r="V99">
        <f t="shared" si="16"/>
        <v>0</v>
      </c>
      <c r="W99">
        <f t="shared" si="16"/>
        <v>0</v>
      </c>
      <c r="X99">
        <f t="shared" si="16"/>
        <v>0</v>
      </c>
      <c r="Y99">
        <f t="shared" si="16"/>
        <v>0</v>
      </c>
      <c r="Z99">
        <f t="shared" si="16"/>
        <v>0</v>
      </c>
      <c r="AA99">
        <f t="shared" si="16"/>
        <v>0</v>
      </c>
      <c r="AB99">
        <f t="shared" si="16"/>
        <v>0</v>
      </c>
      <c r="AC99">
        <f t="shared" si="16"/>
        <v>0</v>
      </c>
      <c r="AD99">
        <f t="shared" si="16"/>
        <v>0</v>
      </c>
      <c r="AE99">
        <f t="shared" si="16"/>
        <v>0</v>
      </c>
      <c r="AF99">
        <f t="shared" si="16"/>
        <v>0</v>
      </c>
      <c r="AG99">
        <f t="shared" si="16"/>
        <v>0</v>
      </c>
      <c r="AH99">
        <f t="shared" si="16"/>
        <v>0</v>
      </c>
      <c r="AI99">
        <f t="shared" si="15"/>
        <v>1</v>
      </c>
      <c r="AJ99">
        <f t="shared" si="15"/>
        <v>1</v>
      </c>
      <c r="AK99">
        <f t="shared" si="15"/>
        <v>1</v>
      </c>
      <c r="AL99">
        <f t="shared" si="15"/>
        <v>1</v>
      </c>
    </row>
    <row r="100" spans="1:38" x14ac:dyDescent="0.25">
      <c r="A100" t="s">
        <v>162</v>
      </c>
      <c r="B100" t="s">
        <v>369</v>
      </c>
      <c r="C100" t="s">
        <v>444</v>
      </c>
      <c r="D100" t="s">
        <v>337</v>
      </c>
      <c r="E100" s="9">
        <v>45464</v>
      </c>
      <c r="F100" s="9">
        <v>46558</v>
      </c>
      <c r="G100" s="2">
        <v>256620000</v>
      </c>
      <c r="H100">
        <v>105</v>
      </c>
      <c r="I100" t="s">
        <v>445</v>
      </c>
      <c r="J100" t="s">
        <v>445</v>
      </c>
      <c r="K100" s="9">
        <v>46558</v>
      </c>
      <c r="L100" s="2">
        <v>256620000</v>
      </c>
      <c r="M100">
        <v>105</v>
      </c>
      <c r="N100" s="2">
        <v>36660000</v>
      </c>
      <c r="O100" s="2">
        <v>36660000</v>
      </c>
      <c r="P100" t="s">
        <v>451</v>
      </c>
      <c r="Q100">
        <f t="shared" si="13"/>
        <v>2024</v>
      </c>
      <c r="R100">
        <f t="shared" si="14"/>
        <v>2024</v>
      </c>
      <c r="S100">
        <f t="shared" si="16"/>
        <v>0</v>
      </c>
      <c r="T100">
        <f t="shared" si="16"/>
        <v>0</v>
      </c>
      <c r="U100">
        <f t="shared" si="16"/>
        <v>0</v>
      </c>
      <c r="V100">
        <f t="shared" si="16"/>
        <v>0</v>
      </c>
      <c r="W100">
        <f t="shared" si="16"/>
        <v>0</v>
      </c>
      <c r="X100">
        <f t="shared" si="16"/>
        <v>0</v>
      </c>
      <c r="Y100">
        <f t="shared" si="16"/>
        <v>0</v>
      </c>
      <c r="Z100">
        <f t="shared" si="16"/>
        <v>0</v>
      </c>
      <c r="AA100">
        <f t="shared" si="16"/>
        <v>0</v>
      </c>
      <c r="AB100">
        <f t="shared" si="16"/>
        <v>0</v>
      </c>
      <c r="AC100">
        <f t="shared" si="16"/>
        <v>0</v>
      </c>
      <c r="AD100">
        <f t="shared" si="16"/>
        <v>0</v>
      </c>
      <c r="AE100">
        <f t="shared" si="16"/>
        <v>0</v>
      </c>
      <c r="AF100">
        <f t="shared" si="16"/>
        <v>0</v>
      </c>
      <c r="AG100">
        <f t="shared" si="16"/>
        <v>0</v>
      </c>
      <c r="AH100">
        <f t="shared" si="16"/>
        <v>0</v>
      </c>
      <c r="AI100">
        <f t="shared" si="15"/>
        <v>0</v>
      </c>
      <c r="AJ100">
        <f t="shared" si="15"/>
        <v>0</v>
      </c>
      <c r="AK100">
        <f t="shared" si="15"/>
        <v>0</v>
      </c>
      <c r="AL100">
        <f t="shared" si="15"/>
        <v>1</v>
      </c>
    </row>
    <row r="101" spans="1:38" x14ac:dyDescent="0.25">
      <c r="A101" t="s">
        <v>163</v>
      </c>
      <c r="B101" t="s">
        <v>370</v>
      </c>
      <c r="C101" t="s">
        <v>444</v>
      </c>
      <c r="D101" t="s">
        <v>337</v>
      </c>
      <c r="E101" s="9">
        <v>38569</v>
      </c>
      <c r="F101" s="9">
        <v>39664</v>
      </c>
      <c r="G101" s="2">
        <v>38170000</v>
      </c>
      <c r="H101">
        <v>55</v>
      </c>
      <c r="I101" t="s">
        <v>445</v>
      </c>
      <c r="J101" t="s">
        <v>445</v>
      </c>
      <c r="K101" s="9">
        <v>39657</v>
      </c>
      <c r="L101" s="2">
        <v>48580000</v>
      </c>
      <c r="M101">
        <v>35</v>
      </c>
      <c r="N101" s="2">
        <v>48580000</v>
      </c>
      <c r="O101">
        <v>0</v>
      </c>
      <c r="P101" t="s">
        <v>446</v>
      </c>
      <c r="Q101">
        <f t="shared" si="13"/>
        <v>2005</v>
      </c>
      <c r="R101">
        <f t="shared" si="14"/>
        <v>2008</v>
      </c>
      <c r="S101">
        <f t="shared" si="16"/>
        <v>1</v>
      </c>
      <c r="T101">
        <f t="shared" si="16"/>
        <v>1</v>
      </c>
      <c r="U101">
        <f t="shared" si="16"/>
        <v>1</v>
      </c>
      <c r="V101">
        <f t="shared" si="16"/>
        <v>1</v>
      </c>
      <c r="W101">
        <f t="shared" si="16"/>
        <v>0</v>
      </c>
      <c r="X101">
        <f t="shared" si="16"/>
        <v>0</v>
      </c>
      <c r="Y101">
        <f t="shared" si="16"/>
        <v>0</v>
      </c>
      <c r="Z101">
        <f t="shared" si="16"/>
        <v>0</v>
      </c>
      <c r="AA101">
        <f t="shared" si="16"/>
        <v>0</v>
      </c>
      <c r="AB101">
        <f t="shared" si="16"/>
        <v>0</v>
      </c>
      <c r="AC101">
        <f t="shared" si="16"/>
        <v>0</v>
      </c>
      <c r="AD101">
        <f t="shared" si="16"/>
        <v>0</v>
      </c>
      <c r="AE101">
        <f t="shared" si="16"/>
        <v>0</v>
      </c>
      <c r="AF101">
        <f t="shared" si="16"/>
        <v>0</v>
      </c>
      <c r="AG101">
        <f t="shared" si="16"/>
        <v>0</v>
      </c>
      <c r="AH101">
        <f t="shared" si="16"/>
        <v>0</v>
      </c>
      <c r="AI101">
        <f t="shared" si="15"/>
        <v>0</v>
      </c>
      <c r="AJ101">
        <f t="shared" si="15"/>
        <v>0</v>
      </c>
      <c r="AK101">
        <f t="shared" si="15"/>
        <v>0</v>
      </c>
      <c r="AL101">
        <f t="shared" si="15"/>
        <v>0</v>
      </c>
    </row>
    <row r="102" spans="1:38" x14ac:dyDescent="0.25">
      <c r="A102" t="s">
        <v>163</v>
      </c>
      <c r="B102" t="s">
        <v>370</v>
      </c>
      <c r="C102" t="s">
        <v>444</v>
      </c>
      <c r="D102" t="s">
        <v>453</v>
      </c>
      <c r="E102" s="9">
        <v>39785</v>
      </c>
      <c r="F102" s="9">
        <v>40149</v>
      </c>
      <c r="G102" s="2">
        <v>52050000</v>
      </c>
      <c r="H102">
        <v>75</v>
      </c>
      <c r="I102" t="s">
        <v>445</v>
      </c>
      <c r="J102" t="s">
        <v>445</v>
      </c>
      <c r="K102" s="9">
        <v>40149</v>
      </c>
      <c r="L102" s="2">
        <v>52050000</v>
      </c>
      <c r="M102">
        <v>37.5</v>
      </c>
      <c r="N102" s="2">
        <v>34700000</v>
      </c>
      <c r="O102">
        <v>0</v>
      </c>
      <c r="P102" t="s">
        <v>446</v>
      </c>
      <c r="Q102">
        <f t="shared" si="13"/>
        <v>2008</v>
      </c>
      <c r="R102">
        <f t="shared" si="14"/>
        <v>2009</v>
      </c>
      <c r="S102">
        <f t="shared" si="16"/>
        <v>0</v>
      </c>
      <c r="T102">
        <f t="shared" si="16"/>
        <v>0</v>
      </c>
      <c r="U102">
        <f t="shared" si="16"/>
        <v>0</v>
      </c>
      <c r="V102">
        <f t="shared" si="16"/>
        <v>1</v>
      </c>
      <c r="W102">
        <f t="shared" si="16"/>
        <v>1</v>
      </c>
      <c r="X102">
        <f t="shared" si="16"/>
        <v>0</v>
      </c>
      <c r="Y102">
        <f t="shared" si="16"/>
        <v>0</v>
      </c>
      <c r="Z102">
        <f t="shared" si="16"/>
        <v>0</v>
      </c>
      <c r="AA102">
        <f t="shared" si="16"/>
        <v>0</v>
      </c>
      <c r="AB102">
        <f t="shared" si="16"/>
        <v>0</v>
      </c>
      <c r="AC102">
        <f t="shared" si="16"/>
        <v>0</v>
      </c>
      <c r="AD102">
        <f t="shared" si="16"/>
        <v>0</v>
      </c>
      <c r="AE102">
        <f t="shared" si="16"/>
        <v>0</v>
      </c>
      <c r="AF102">
        <f t="shared" si="16"/>
        <v>0</v>
      </c>
      <c r="AG102">
        <f t="shared" si="16"/>
        <v>0</v>
      </c>
      <c r="AH102">
        <f t="shared" si="16"/>
        <v>0</v>
      </c>
      <c r="AI102">
        <f t="shared" si="15"/>
        <v>0</v>
      </c>
      <c r="AJ102">
        <f t="shared" si="15"/>
        <v>0</v>
      </c>
      <c r="AK102">
        <f t="shared" si="15"/>
        <v>0</v>
      </c>
      <c r="AL102">
        <f t="shared" si="15"/>
        <v>0</v>
      </c>
    </row>
    <row r="103" spans="1:38" x14ac:dyDescent="0.25">
      <c r="A103" t="s">
        <v>163</v>
      </c>
      <c r="B103" t="s">
        <v>370</v>
      </c>
      <c r="C103" t="s">
        <v>444</v>
      </c>
      <c r="D103" t="s">
        <v>337</v>
      </c>
      <c r="E103" s="9">
        <v>40228</v>
      </c>
      <c r="F103" s="9">
        <v>41323</v>
      </c>
      <c r="G103" s="2">
        <v>52050000</v>
      </c>
      <c r="H103">
        <v>75</v>
      </c>
      <c r="I103" t="s">
        <v>445</v>
      </c>
      <c r="J103" t="s">
        <v>445</v>
      </c>
      <c r="K103" s="9">
        <v>41112</v>
      </c>
      <c r="L103" s="2">
        <v>52050000</v>
      </c>
      <c r="M103">
        <v>37.5</v>
      </c>
      <c r="N103" s="2">
        <v>13880000</v>
      </c>
      <c r="O103">
        <v>0</v>
      </c>
      <c r="P103" t="s">
        <v>446</v>
      </c>
      <c r="Q103">
        <f t="shared" si="13"/>
        <v>2010</v>
      </c>
      <c r="R103">
        <f t="shared" si="14"/>
        <v>2013</v>
      </c>
      <c r="S103">
        <f t="shared" si="16"/>
        <v>0</v>
      </c>
      <c r="T103">
        <f t="shared" si="16"/>
        <v>0</v>
      </c>
      <c r="U103">
        <f t="shared" si="16"/>
        <v>0</v>
      </c>
      <c r="V103">
        <f t="shared" si="16"/>
        <v>0</v>
      </c>
      <c r="W103">
        <f t="shared" si="16"/>
        <v>0</v>
      </c>
      <c r="X103">
        <f t="shared" si="16"/>
        <v>1</v>
      </c>
      <c r="Y103">
        <f t="shared" si="16"/>
        <v>1</v>
      </c>
      <c r="Z103">
        <f t="shared" si="16"/>
        <v>1</v>
      </c>
      <c r="AA103">
        <f t="shared" si="16"/>
        <v>1</v>
      </c>
      <c r="AB103">
        <f t="shared" si="16"/>
        <v>0</v>
      </c>
      <c r="AC103">
        <f t="shared" si="16"/>
        <v>0</v>
      </c>
      <c r="AD103">
        <f t="shared" si="16"/>
        <v>0</v>
      </c>
      <c r="AE103">
        <f t="shared" si="16"/>
        <v>0</v>
      </c>
      <c r="AF103">
        <f t="shared" si="16"/>
        <v>0</v>
      </c>
      <c r="AG103">
        <f t="shared" si="16"/>
        <v>0</v>
      </c>
      <c r="AH103">
        <f t="shared" si="16"/>
        <v>0</v>
      </c>
      <c r="AI103">
        <f t="shared" si="15"/>
        <v>0</v>
      </c>
      <c r="AJ103">
        <f t="shared" si="15"/>
        <v>0</v>
      </c>
      <c r="AK103">
        <f t="shared" si="15"/>
        <v>0</v>
      </c>
      <c r="AL103">
        <f t="shared" si="15"/>
        <v>0</v>
      </c>
    </row>
    <row r="104" spans="1:38" x14ac:dyDescent="0.25">
      <c r="A104" t="s">
        <v>163</v>
      </c>
      <c r="B104" t="s">
        <v>370</v>
      </c>
      <c r="C104" t="s">
        <v>444</v>
      </c>
      <c r="D104" t="s">
        <v>337</v>
      </c>
      <c r="E104" s="9">
        <v>41113</v>
      </c>
      <c r="F104" s="9">
        <v>42207</v>
      </c>
      <c r="G104" s="2">
        <v>104100000</v>
      </c>
      <c r="H104">
        <v>150</v>
      </c>
      <c r="I104" t="s">
        <v>445</v>
      </c>
      <c r="J104" t="s">
        <v>445</v>
      </c>
      <c r="K104" s="9">
        <v>42915</v>
      </c>
      <c r="L104" s="2">
        <v>138800000</v>
      </c>
      <c r="M104">
        <v>100</v>
      </c>
      <c r="N104" s="2">
        <v>138800000</v>
      </c>
      <c r="O104" s="2">
        <v>27318000</v>
      </c>
      <c r="P104" t="s">
        <v>446</v>
      </c>
      <c r="Q104">
        <f t="shared" si="13"/>
        <v>2012</v>
      </c>
      <c r="R104">
        <f t="shared" si="14"/>
        <v>2015</v>
      </c>
      <c r="S104">
        <f t="shared" si="16"/>
        <v>0</v>
      </c>
      <c r="T104">
        <f t="shared" si="16"/>
        <v>0</v>
      </c>
      <c r="U104">
        <f t="shared" si="16"/>
        <v>0</v>
      </c>
      <c r="V104">
        <f t="shared" si="16"/>
        <v>0</v>
      </c>
      <c r="W104">
        <f t="shared" si="16"/>
        <v>0</v>
      </c>
      <c r="X104">
        <f t="shared" si="16"/>
        <v>0</v>
      </c>
      <c r="Y104">
        <f t="shared" si="16"/>
        <v>0</v>
      </c>
      <c r="Z104">
        <f t="shared" si="16"/>
        <v>1</v>
      </c>
      <c r="AA104">
        <f t="shared" si="16"/>
        <v>1</v>
      </c>
      <c r="AB104">
        <f t="shared" si="16"/>
        <v>1</v>
      </c>
      <c r="AC104">
        <f t="shared" si="16"/>
        <v>1</v>
      </c>
      <c r="AD104">
        <f t="shared" si="16"/>
        <v>0</v>
      </c>
      <c r="AE104">
        <f t="shared" si="16"/>
        <v>0</v>
      </c>
      <c r="AF104">
        <f t="shared" si="16"/>
        <v>0</v>
      </c>
      <c r="AG104">
        <f t="shared" si="16"/>
        <v>0</v>
      </c>
      <c r="AH104">
        <f t="shared" ref="AH104:AL119" si="17">IF(AND(AH$10 &gt;= $Q104, AH$10 &lt;= $R104), 1, 0)</f>
        <v>0</v>
      </c>
      <c r="AI104">
        <f t="shared" si="17"/>
        <v>0</v>
      </c>
      <c r="AJ104">
        <f t="shared" si="17"/>
        <v>0</v>
      </c>
      <c r="AK104">
        <f t="shared" si="17"/>
        <v>0</v>
      </c>
      <c r="AL104">
        <f t="shared" si="17"/>
        <v>0</v>
      </c>
    </row>
    <row r="105" spans="1:38" x14ac:dyDescent="0.25">
      <c r="A105" t="s">
        <v>163</v>
      </c>
      <c r="B105" t="s">
        <v>370</v>
      </c>
      <c r="C105" t="s">
        <v>444</v>
      </c>
      <c r="D105" t="s">
        <v>337</v>
      </c>
      <c r="E105" s="9">
        <v>43220</v>
      </c>
      <c r="F105" s="9">
        <v>44315</v>
      </c>
      <c r="G105" s="2">
        <v>78075000</v>
      </c>
      <c r="H105">
        <v>56.3</v>
      </c>
      <c r="I105" t="s">
        <v>445</v>
      </c>
      <c r="J105" t="s">
        <v>445</v>
      </c>
      <c r="K105" s="9">
        <v>44098</v>
      </c>
      <c r="L105" s="2">
        <v>105835000</v>
      </c>
      <c r="M105">
        <v>76.3</v>
      </c>
      <c r="N105" s="2">
        <v>53850000</v>
      </c>
      <c r="O105" s="2">
        <v>48275000</v>
      </c>
      <c r="P105" t="s">
        <v>446</v>
      </c>
      <c r="Q105">
        <f t="shared" si="13"/>
        <v>2018</v>
      </c>
      <c r="R105">
        <f t="shared" si="14"/>
        <v>2021</v>
      </c>
      <c r="S105">
        <f t="shared" ref="S105:AH120" si="18">IF(AND(S$10 &gt;= $Q105, S$10 &lt;= $R105), 1, 0)</f>
        <v>0</v>
      </c>
      <c r="T105">
        <f t="shared" si="18"/>
        <v>0</v>
      </c>
      <c r="U105">
        <f t="shared" si="18"/>
        <v>0</v>
      </c>
      <c r="V105">
        <f t="shared" si="18"/>
        <v>0</v>
      </c>
      <c r="W105">
        <f t="shared" si="18"/>
        <v>0</v>
      </c>
      <c r="X105">
        <f t="shared" si="18"/>
        <v>0</v>
      </c>
      <c r="Y105">
        <f t="shared" si="18"/>
        <v>0</v>
      </c>
      <c r="Z105">
        <f t="shared" si="18"/>
        <v>0</v>
      </c>
      <c r="AA105">
        <f t="shared" si="18"/>
        <v>0</v>
      </c>
      <c r="AB105">
        <f t="shared" si="18"/>
        <v>0</v>
      </c>
      <c r="AC105">
        <f t="shared" si="18"/>
        <v>0</v>
      </c>
      <c r="AD105">
        <f t="shared" si="18"/>
        <v>0</v>
      </c>
      <c r="AE105">
        <f t="shared" si="18"/>
        <v>0</v>
      </c>
      <c r="AF105">
        <f t="shared" si="18"/>
        <v>1</v>
      </c>
      <c r="AG105">
        <f t="shared" si="18"/>
        <v>1</v>
      </c>
      <c r="AH105">
        <f t="shared" si="18"/>
        <v>1</v>
      </c>
      <c r="AI105">
        <f t="shared" si="17"/>
        <v>1</v>
      </c>
      <c r="AJ105">
        <f t="shared" si="17"/>
        <v>0</v>
      </c>
      <c r="AK105">
        <f t="shared" si="17"/>
        <v>0</v>
      </c>
      <c r="AL105">
        <f t="shared" si="17"/>
        <v>0</v>
      </c>
    </row>
    <row r="106" spans="1:38" x14ac:dyDescent="0.25">
      <c r="A106" t="s">
        <v>163</v>
      </c>
      <c r="B106" t="s">
        <v>370</v>
      </c>
      <c r="C106" t="s">
        <v>444</v>
      </c>
      <c r="D106" t="s">
        <v>337</v>
      </c>
      <c r="E106" s="9">
        <v>45245</v>
      </c>
      <c r="F106" s="9">
        <v>46705</v>
      </c>
      <c r="G106" s="2">
        <v>131860000</v>
      </c>
      <c r="H106">
        <v>95</v>
      </c>
      <c r="I106" t="s">
        <v>445</v>
      </c>
      <c r="J106" t="s">
        <v>445</v>
      </c>
      <c r="K106" s="9">
        <v>46705</v>
      </c>
      <c r="L106" s="2">
        <v>131860000</v>
      </c>
      <c r="M106">
        <v>95</v>
      </c>
      <c r="N106" s="2">
        <v>26372000</v>
      </c>
      <c r="O106" s="2">
        <v>26372000</v>
      </c>
      <c r="P106" t="s">
        <v>451</v>
      </c>
      <c r="Q106">
        <f t="shared" si="13"/>
        <v>2023</v>
      </c>
      <c r="R106">
        <f t="shared" si="14"/>
        <v>2024</v>
      </c>
      <c r="S106">
        <f t="shared" si="18"/>
        <v>0</v>
      </c>
      <c r="T106">
        <f t="shared" si="18"/>
        <v>0</v>
      </c>
      <c r="U106">
        <f t="shared" si="18"/>
        <v>0</v>
      </c>
      <c r="V106">
        <f t="shared" si="18"/>
        <v>0</v>
      </c>
      <c r="W106">
        <f t="shared" si="18"/>
        <v>0</v>
      </c>
      <c r="X106">
        <f t="shared" si="18"/>
        <v>0</v>
      </c>
      <c r="Y106">
        <f t="shared" si="18"/>
        <v>0</v>
      </c>
      <c r="Z106">
        <f t="shared" si="18"/>
        <v>0</v>
      </c>
      <c r="AA106">
        <f t="shared" si="18"/>
        <v>0</v>
      </c>
      <c r="AB106">
        <f t="shared" si="18"/>
        <v>0</v>
      </c>
      <c r="AC106">
        <f t="shared" si="18"/>
        <v>0</v>
      </c>
      <c r="AD106">
        <f t="shared" si="18"/>
        <v>0</v>
      </c>
      <c r="AE106">
        <f t="shared" si="18"/>
        <v>0</v>
      </c>
      <c r="AF106">
        <f t="shared" si="18"/>
        <v>0</v>
      </c>
      <c r="AG106">
        <f t="shared" si="18"/>
        <v>0</v>
      </c>
      <c r="AH106">
        <f t="shared" si="18"/>
        <v>0</v>
      </c>
      <c r="AI106">
        <f t="shared" si="17"/>
        <v>0</v>
      </c>
      <c r="AJ106">
        <f t="shared" si="17"/>
        <v>0</v>
      </c>
      <c r="AK106">
        <f t="shared" si="17"/>
        <v>1</v>
      </c>
      <c r="AL106">
        <f t="shared" si="17"/>
        <v>1</v>
      </c>
    </row>
    <row r="107" spans="1:38" x14ac:dyDescent="0.25">
      <c r="A107" t="s">
        <v>165</v>
      </c>
      <c r="B107" t="s">
        <v>371</v>
      </c>
      <c r="C107" t="s">
        <v>444</v>
      </c>
      <c r="D107" t="s">
        <v>453</v>
      </c>
      <c r="E107" s="9">
        <v>40151</v>
      </c>
      <c r="F107" s="9">
        <v>40880</v>
      </c>
      <c r="G107" s="2">
        <v>8200000</v>
      </c>
      <c r="H107">
        <v>100</v>
      </c>
      <c r="I107" t="s">
        <v>445</v>
      </c>
      <c r="J107" t="s">
        <v>445</v>
      </c>
      <c r="K107" s="9">
        <v>40880</v>
      </c>
      <c r="L107" s="2">
        <v>8200000</v>
      </c>
      <c r="M107">
        <v>38.700000000000003</v>
      </c>
      <c r="N107" s="2">
        <v>2050000</v>
      </c>
      <c r="O107">
        <v>0</v>
      </c>
      <c r="P107" t="s">
        <v>446</v>
      </c>
      <c r="Q107">
        <f t="shared" si="13"/>
        <v>2009</v>
      </c>
      <c r="R107">
        <f t="shared" si="14"/>
        <v>2011</v>
      </c>
      <c r="S107">
        <f t="shared" si="18"/>
        <v>0</v>
      </c>
      <c r="T107">
        <f t="shared" si="18"/>
        <v>0</v>
      </c>
      <c r="U107">
        <f t="shared" si="18"/>
        <v>0</v>
      </c>
      <c r="V107">
        <f t="shared" si="18"/>
        <v>0</v>
      </c>
      <c r="W107">
        <f t="shared" si="18"/>
        <v>1</v>
      </c>
      <c r="X107">
        <f t="shared" si="18"/>
        <v>1</v>
      </c>
      <c r="Y107">
        <f t="shared" si="18"/>
        <v>1</v>
      </c>
      <c r="Z107">
        <f t="shared" si="18"/>
        <v>0</v>
      </c>
      <c r="AA107">
        <f t="shared" si="18"/>
        <v>0</v>
      </c>
      <c r="AB107">
        <f t="shared" si="18"/>
        <v>0</v>
      </c>
      <c r="AC107">
        <f t="shared" si="18"/>
        <v>0</v>
      </c>
      <c r="AD107">
        <f t="shared" si="18"/>
        <v>0</v>
      </c>
      <c r="AE107">
        <f t="shared" si="18"/>
        <v>0</v>
      </c>
      <c r="AF107">
        <f t="shared" si="18"/>
        <v>0</v>
      </c>
      <c r="AG107">
        <f t="shared" si="18"/>
        <v>0</v>
      </c>
      <c r="AH107">
        <f t="shared" si="18"/>
        <v>0</v>
      </c>
      <c r="AI107">
        <f t="shared" si="17"/>
        <v>0</v>
      </c>
      <c r="AJ107">
        <f t="shared" si="17"/>
        <v>0</v>
      </c>
      <c r="AK107">
        <f t="shared" si="17"/>
        <v>0</v>
      </c>
      <c r="AL107">
        <f t="shared" si="17"/>
        <v>0</v>
      </c>
    </row>
    <row r="108" spans="1:38" x14ac:dyDescent="0.25">
      <c r="A108" t="s">
        <v>166</v>
      </c>
      <c r="B108" t="s">
        <v>372</v>
      </c>
      <c r="C108" t="s">
        <v>444</v>
      </c>
      <c r="D108" t="s">
        <v>337</v>
      </c>
      <c r="E108" s="9">
        <v>39596</v>
      </c>
      <c r="F108" s="9">
        <v>40690</v>
      </c>
      <c r="G108" s="2">
        <v>27990000</v>
      </c>
      <c r="H108">
        <v>30</v>
      </c>
      <c r="I108" t="s">
        <v>445</v>
      </c>
      <c r="J108" t="s">
        <v>445</v>
      </c>
      <c r="K108" s="9">
        <v>40899</v>
      </c>
      <c r="L108" s="2">
        <v>52990000</v>
      </c>
      <c r="M108">
        <v>28.4</v>
      </c>
      <c r="N108" s="2">
        <v>52990000</v>
      </c>
      <c r="O108">
        <v>0</v>
      </c>
      <c r="P108" t="s">
        <v>446</v>
      </c>
      <c r="Q108">
        <f t="shared" si="13"/>
        <v>2008</v>
      </c>
      <c r="R108">
        <f t="shared" si="14"/>
        <v>2011</v>
      </c>
      <c r="S108">
        <f t="shared" si="18"/>
        <v>0</v>
      </c>
      <c r="T108">
        <f t="shared" si="18"/>
        <v>0</v>
      </c>
      <c r="U108">
        <f t="shared" si="18"/>
        <v>0</v>
      </c>
      <c r="V108">
        <f t="shared" si="18"/>
        <v>1</v>
      </c>
      <c r="W108">
        <f t="shared" si="18"/>
        <v>1</v>
      </c>
      <c r="X108">
        <f t="shared" si="18"/>
        <v>1</v>
      </c>
      <c r="Y108">
        <f t="shared" si="18"/>
        <v>1</v>
      </c>
      <c r="Z108">
        <f t="shared" si="18"/>
        <v>0</v>
      </c>
      <c r="AA108">
        <f t="shared" si="18"/>
        <v>0</v>
      </c>
      <c r="AB108">
        <f t="shared" si="18"/>
        <v>0</v>
      </c>
      <c r="AC108">
        <f t="shared" si="18"/>
        <v>0</v>
      </c>
      <c r="AD108">
        <f t="shared" si="18"/>
        <v>0</v>
      </c>
      <c r="AE108">
        <f t="shared" si="18"/>
        <v>0</v>
      </c>
      <c r="AF108">
        <f t="shared" si="18"/>
        <v>0</v>
      </c>
      <c r="AG108">
        <f t="shared" si="18"/>
        <v>0</v>
      </c>
      <c r="AH108">
        <f t="shared" si="18"/>
        <v>0</v>
      </c>
      <c r="AI108">
        <f t="shared" si="17"/>
        <v>0</v>
      </c>
      <c r="AJ108">
        <f t="shared" si="17"/>
        <v>0</v>
      </c>
      <c r="AK108">
        <f t="shared" si="17"/>
        <v>0</v>
      </c>
      <c r="AL108">
        <f t="shared" si="17"/>
        <v>0</v>
      </c>
    </row>
    <row r="109" spans="1:38" x14ac:dyDescent="0.25">
      <c r="A109" t="s">
        <v>166</v>
      </c>
      <c r="B109" t="s">
        <v>372</v>
      </c>
      <c r="C109" t="s">
        <v>444</v>
      </c>
      <c r="D109" t="s">
        <v>337</v>
      </c>
      <c r="E109" s="9">
        <v>40904</v>
      </c>
      <c r="F109" s="9">
        <v>41999</v>
      </c>
      <c r="G109" s="2">
        <v>30000000</v>
      </c>
      <c r="H109">
        <v>32.200000000000003</v>
      </c>
      <c r="I109" t="s">
        <v>445</v>
      </c>
      <c r="J109" t="s">
        <v>445</v>
      </c>
      <c r="K109" s="9">
        <v>41284</v>
      </c>
      <c r="L109" s="2">
        <v>30000000</v>
      </c>
      <c r="M109">
        <v>16.100000000000001</v>
      </c>
      <c r="N109" s="2">
        <v>6000000</v>
      </c>
      <c r="O109">
        <v>0</v>
      </c>
      <c r="P109" t="s">
        <v>446</v>
      </c>
      <c r="Q109">
        <f t="shared" si="13"/>
        <v>2011</v>
      </c>
      <c r="R109">
        <f t="shared" si="14"/>
        <v>2014</v>
      </c>
      <c r="S109">
        <f t="shared" si="18"/>
        <v>0</v>
      </c>
      <c r="T109">
        <f t="shared" si="18"/>
        <v>0</v>
      </c>
      <c r="U109">
        <f t="shared" si="18"/>
        <v>0</v>
      </c>
      <c r="V109">
        <f t="shared" si="18"/>
        <v>0</v>
      </c>
      <c r="W109">
        <f t="shared" si="18"/>
        <v>0</v>
      </c>
      <c r="X109">
        <f t="shared" si="18"/>
        <v>0</v>
      </c>
      <c r="Y109">
        <f t="shared" si="18"/>
        <v>1</v>
      </c>
      <c r="Z109">
        <f t="shared" si="18"/>
        <v>1</v>
      </c>
      <c r="AA109">
        <f t="shared" si="18"/>
        <v>1</v>
      </c>
      <c r="AB109">
        <f t="shared" si="18"/>
        <v>1</v>
      </c>
      <c r="AC109">
        <f t="shared" si="18"/>
        <v>0</v>
      </c>
      <c r="AD109">
        <f t="shared" si="18"/>
        <v>0</v>
      </c>
      <c r="AE109">
        <f t="shared" si="18"/>
        <v>0</v>
      </c>
      <c r="AF109">
        <f t="shared" si="18"/>
        <v>0</v>
      </c>
      <c r="AG109">
        <f t="shared" si="18"/>
        <v>0</v>
      </c>
      <c r="AH109">
        <f t="shared" si="18"/>
        <v>0</v>
      </c>
      <c r="AI109">
        <f t="shared" si="17"/>
        <v>0</v>
      </c>
      <c r="AJ109">
        <f t="shared" si="17"/>
        <v>0</v>
      </c>
      <c r="AK109">
        <f t="shared" si="17"/>
        <v>0</v>
      </c>
      <c r="AL109">
        <f t="shared" si="17"/>
        <v>0</v>
      </c>
    </row>
    <row r="110" spans="1:38" x14ac:dyDescent="0.25">
      <c r="A110" t="s">
        <v>166</v>
      </c>
      <c r="B110" t="s">
        <v>372</v>
      </c>
      <c r="C110" t="s">
        <v>444</v>
      </c>
      <c r="D110" t="s">
        <v>337</v>
      </c>
      <c r="E110" s="9">
        <v>41626</v>
      </c>
      <c r="F110" s="9">
        <v>42721</v>
      </c>
      <c r="G110" s="2">
        <v>30000000</v>
      </c>
      <c r="H110">
        <v>32.200000000000003</v>
      </c>
      <c r="I110" t="s">
        <v>445</v>
      </c>
      <c r="J110" t="s">
        <v>445</v>
      </c>
      <c r="K110" s="9">
        <v>43451</v>
      </c>
      <c r="L110" s="2">
        <v>186600000</v>
      </c>
      <c r="M110">
        <v>100</v>
      </c>
      <c r="N110" s="2">
        <v>186600000</v>
      </c>
      <c r="O110" s="2">
        <v>103120000</v>
      </c>
      <c r="P110" t="s">
        <v>446</v>
      </c>
      <c r="Q110">
        <f t="shared" si="13"/>
        <v>2013</v>
      </c>
      <c r="R110">
        <f t="shared" si="14"/>
        <v>2016</v>
      </c>
      <c r="S110">
        <f t="shared" si="18"/>
        <v>0</v>
      </c>
      <c r="T110">
        <f t="shared" si="18"/>
        <v>0</v>
      </c>
      <c r="U110">
        <f t="shared" si="18"/>
        <v>0</v>
      </c>
      <c r="V110">
        <f t="shared" si="18"/>
        <v>0</v>
      </c>
      <c r="W110">
        <f t="shared" si="18"/>
        <v>0</v>
      </c>
      <c r="X110">
        <f t="shared" si="18"/>
        <v>0</v>
      </c>
      <c r="Y110">
        <f t="shared" si="18"/>
        <v>0</v>
      </c>
      <c r="Z110">
        <f t="shared" si="18"/>
        <v>0</v>
      </c>
      <c r="AA110">
        <f t="shared" si="18"/>
        <v>1</v>
      </c>
      <c r="AB110">
        <f t="shared" si="18"/>
        <v>1</v>
      </c>
      <c r="AC110">
        <f t="shared" si="18"/>
        <v>1</v>
      </c>
      <c r="AD110">
        <f t="shared" si="18"/>
        <v>1</v>
      </c>
      <c r="AE110">
        <f t="shared" si="18"/>
        <v>0</v>
      </c>
      <c r="AF110">
        <f t="shared" si="18"/>
        <v>0</v>
      </c>
      <c r="AG110">
        <f t="shared" si="18"/>
        <v>0</v>
      </c>
      <c r="AH110">
        <f t="shared" si="18"/>
        <v>0</v>
      </c>
      <c r="AI110">
        <f t="shared" si="17"/>
        <v>0</v>
      </c>
      <c r="AJ110">
        <f t="shared" si="17"/>
        <v>0</v>
      </c>
      <c r="AK110">
        <f t="shared" si="17"/>
        <v>0</v>
      </c>
      <c r="AL110">
        <f t="shared" si="17"/>
        <v>0</v>
      </c>
    </row>
    <row r="111" spans="1:38" x14ac:dyDescent="0.25">
      <c r="A111" t="s">
        <v>166</v>
      </c>
      <c r="B111" t="s">
        <v>372</v>
      </c>
      <c r="C111" t="s">
        <v>444</v>
      </c>
      <c r="D111" t="s">
        <v>337</v>
      </c>
      <c r="E111" s="9">
        <v>43705</v>
      </c>
      <c r="F111" s="9">
        <v>44800</v>
      </c>
      <c r="G111" s="2">
        <v>139950000</v>
      </c>
      <c r="H111">
        <v>75</v>
      </c>
      <c r="I111" t="s">
        <v>445</v>
      </c>
      <c r="J111" t="s">
        <v>445</v>
      </c>
      <c r="K111" s="9">
        <v>44794</v>
      </c>
      <c r="L111" s="2">
        <v>139950000</v>
      </c>
      <c r="M111">
        <v>75</v>
      </c>
      <c r="N111" s="2">
        <v>80000000</v>
      </c>
      <c r="O111" s="2">
        <v>80000000</v>
      </c>
      <c r="P111" t="s">
        <v>446</v>
      </c>
      <c r="Q111">
        <f t="shared" si="13"/>
        <v>2019</v>
      </c>
      <c r="R111">
        <f t="shared" si="14"/>
        <v>2022</v>
      </c>
      <c r="S111">
        <f t="shared" si="18"/>
        <v>0</v>
      </c>
      <c r="T111">
        <f t="shared" si="18"/>
        <v>0</v>
      </c>
      <c r="U111">
        <f t="shared" si="18"/>
        <v>0</v>
      </c>
      <c r="V111">
        <f t="shared" si="18"/>
        <v>0</v>
      </c>
      <c r="W111">
        <f t="shared" si="18"/>
        <v>0</v>
      </c>
      <c r="X111">
        <f t="shared" si="18"/>
        <v>0</v>
      </c>
      <c r="Y111">
        <f t="shared" si="18"/>
        <v>0</v>
      </c>
      <c r="Z111">
        <f t="shared" si="18"/>
        <v>0</v>
      </c>
      <c r="AA111">
        <f t="shared" si="18"/>
        <v>0</v>
      </c>
      <c r="AB111">
        <f t="shared" si="18"/>
        <v>0</v>
      </c>
      <c r="AC111">
        <f t="shared" si="18"/>
        <v>0</v>
      </c>
      <c r="AD111">
        <f t="shared" si="18"/>
        <v>0</v>
      </c>
      <c r="AE111">
        <f t="shared" si="18"/>
        <v>0</v>
      </c>
      <c r="AF111">
        <f t="shared" si="18"/>
        <v>0</v>
      </c>
      <c r="AG111">
        <f t="shared" si="18"/>
        <v>1</v>
      </c>
      <c r="AH111">
        <f t="shared" si="18"/>
        <v>1</v>
      </c>
      <c r="AI111">
        <f t="shared" si="17"/>
        <v>1</v>
      </c>
      <c r="AJ111">
        <f t="shared" si="17"/>
        <v>1</v>
      </c>
      <c r="AK111">
        <f t="shared" si="17"/>
        <v>0</v>
      </c>
      <c r="AL111">
        <f t="shared" si="17"/>
        <v>0</v>
      </c>
    </row>
    <row r="112" spans="1:38" x14ac:dyDescent="0.25">
      <c r="A112" t="s">
        <v>171</v>
      </c>
      <c r="B112" t="s">
        <v>373</v>
      </c>
      <c r="C112" t="s">
        <v>444</v>
      </c>
      <c r="D112" t="s">
        <v>337</v>
      </c>
      <c r="E112" s="9">
        <v>39069</v>
      </c>
      <c r="F112" s="9">
        <v>40164</v>
      </c>
      <c r="G112" s="2">
        <v>16100000</v>
      </c>
      <c r="H112">
        <v>25</v>
      </c>
      <c r="I112" t="s">
        <v>445</v>
      </c>
      <c r="J112" t="s">
        <v>445</v>
      </c>
      <c r="K112" s="9">
        <v>40118</v>
      </c>
      <c r="L112" s="2">
        <v>16100000</v>
      </c>
      <c r="M112">
        <v>12.5</v>
      </c>
      <c r="N112" s="2">
        <v>10310000</v>
      </c>
      <c r="O112">
        <v>0</v>
      </c>
      <c r="P112" t="s">
        <v>446</v>
      </c>
      <c r="Q112">
        <f t="shared" si="13"/>
        <v>2006</v>
      </c>
      <c r="R112">
        <f t="shared" si="14"/>
        <v>2009</v>
      </c>
      <c r="S112">
        <f t="shared" si="18"/>
        <v>0</v>
      </c>
      <c r="T112">
        <f t="shared" si="18"/>
        <v>1</v>
      </c>
      <c r="U112">
        <f t="shared" si="18"/>
        <v>1</v>
      </c>
      <c r="V112">
        <f t="shared" si="18"/>
        <v>1</v>
      </c>
      <c r="W112">
        <f t="shared" si="18"/>
        <v>1</v>
      </c>
      <c r="X112">
        <f t="shared" si="18"/>
        <v>0</v>
      </c>
      <c r="Y112">
        <f t="shared" si="18"/>
        <v>0</v>
      </c>
      <c r="Z112">
        <f t="shared" si="18"/>
        <v>0</v>
      </c>
      <c r="AA112">
        <f t="shared" si="18"/>
        <v>0</v>
      </c>
      <c r="AB112">
        <f t="shared" si="18"/>
        <v>0</v>
      </c>
      <c r="AC112">
        <f t="shared" si="18"/>
        <v>0</v>
      </c>
      <c r="AD112">
        <f t="shared" si="18"/>
        <v>0</v>
      </c>
      <c r="AE112">
        <f t="shared" si="18"/>
        <v>0</v>
      </c>
      <c r="AF112">
        <f t="shared" si="18"/>
        <v>0</v>
      </c>
      <c r="AG112">
        <f t="shared" si="18"/>
        <v>0</v>
      </c>
      <c r="AH112">
        <f t="shared" si="18"/>
        <v>0</v>
      </c>
      <c r="AI112">
        <f t="shared" si="17"/>
        <v>0</v>
      </c>
      <c r="AJ112">
        <f t="shared" si="17"/>
        <v>0</v>
      </c>
      <c r="AK112">
        <f t="shared" si="17"/>
        <v>0</v>
      </c>
      <c r="AL112">
        <f t="shared" si="17"/>
        <v>0</v>
      </c>
    </row>
    <row r="113" spans="1:38" x14ac:dyDescent="0.25">
      <c r="A113" t="s">
        <v>171</v>
      </c>
      <c r="B113" t="s">
        <v>373</v>
      </c>
      <c r="C113" t="s">
        <v>444</v>
      </c>
      <c r="D113" t="s">
        <v>337</v>
      </c>
      <c r="E113" s="9">
        <v>40252</v>
      </c>
      <c r="F113" s="9">
        <v>41347</v>
      </c>
      <c r="G113" s="2">
        <v>77280000</v>
      </c>
      <c r="H113">
        <v>120</v>
      </c>
      <c r="I113" t="s">
        <v>445</v>
      </c>
      <c r="J113" t="s">
        <v>445</v>
      </c>
      <c r="K113" s="9">
        <v>41450</v>
      </c>
      <c r="L113" s="2">
        <v>77280000</v>
      </c>
      <c r="M113">
        <v>60</v>
      </c>
      <c r="N113" s="2">
        <v>77280000</v>
      </c>
      <c r="O113">
        <v>0</v>
      </c>
      <c r="P113" t="s">
        <v>446</v>
      </c>
      <c r="Q113">
        <f t="shared" si="13"/>
        <v>2010</v>
      </c>
      <c r="R113">
        <f t="shared" si="14"/>
        <v>2013</v>
      </c>
      <c r="S113">
        <f t="shared" si="18"/>
        <v>0</v>
      </c>
      <c r="T113">
        <f t="shared" si="18"/>
        <v>0</v>
      </c>
      <c r="U113">
        <f t="shared" si="18"/>
        <v>0</v>
      </c>
      <c r="V113">
        <f t="shared" si="18"/>
        <v>0</v>
      </c>
      <c r="W113">
        <f t="shared" si="18"/>
        <v>0</v>
      </c>
      <c r="X113">
        <f t="shared" si="18"/>
        <v>1</v>
      </c>
      <c r="Y113">
        <f t="shared" si="18"/>
        <v>1</v>
      </c>
      <c r="Z113">
        <f t="shared" si="18"/>
        <v>1</v>
      </c>
      <c r="AA113">
        <f t="shared" si="18"/>
        <v>1</v>
      </c>
      <c r="AB113">
        <f t="shared" si="18"/>
        <v>0</v>
      </c>
      <c r="AC113">
        <f t="shared" si="18"/>
        <v>0</v>
      </c>
      <c r="AD113">
        <f t="shared" si="18"/>
        <v>0</v>
      </c>
      <c r="AE113">
        <f t="shared" si="18"/>
        <v>0</v>
      </c>
      <c r="AF113">
        <f t="shared" si="18"/>
        <v>0</v>
      </c>
      <c r="AG113">
        <f t="shared" si="18"/>
        <v>0</v>
      </c>
      <c r="AH113">
        <f t="shared" si="18"/>
        <v>0</v>
      </c>
      <c r="AI113">
        <f t="shared" si="17"/>
        <v>0</v>
      </c>
      <c r="AJ113">
        <f t="shared" si="17"/>
        <v>0</v>
      </c>
      <c r="AK113">
        <f t="shared" si="17"/>
        <v>0</v>
      </c>
      <c r="AL113">
        <f t="shared" si="17"/>
        <v>0</v>
      </c>
    </row>
    <row r="114" spans="1:38" x14ac:dyDescent="0.25">
      <c r="A114" t="s">
        <v>171</v>
      </c>
      <c r="B114" t="s">
        <v>373</v>
      </c>
      <c r="C114" t="s">
        <v>444</v>
      </c>
      <c r="D114" t="s">
        <v>337</v>
      </c>
      <c r="E114" s="9">
        <v>43075</v>
      </c>
      <c r="F114" s="9">
        <v>44170</v>
      </c>
      <c r="G114" s="2">
        <v>115920000</v>
      </c>
      <c r="H114">
        <v>90</v>
      </c>
      <c r="I114" t="s">
        <v>445</v>
      </c>
      <c r="J114" t="s">
        <v>445</v>
      </c>
      <c r="K114" s="9">
        <v>44260</v>
      </c>
      <c r="L114" s="2">
        <v>136160000</v>
      </c>
      <c r="M114">
        <v>105.7</v>
      </c>
      <c r="N114" s="2">
        <v>136160000</v>
      </c>
      <c r="O114" s="2">
        <v>119600000</v>
      </c>
      <c r="P114" t="s">
        <v>446</v>
      </c>
      <c r="Q114">
        <f t="shared" si="13"/>
        <v>2017</v>
      </c>
      <c r="R114">
        <f t="shared" si="14"/>
        <v>2020</v>
      </c>
      <c r="S114">
        <f t="shared" si="18"/>
        <v>0</v>
      </c>
      <c r="T114">
        <f t="shared" si="18"/>
        <v>0</v>
      </c>
      <c r="U114">
        <f t="shared" si="18"/>
        <v>0</v>
      </c>
      <c r="V114">
        <f t="shared" si="18"/>
        <v>0</v>
      </c>
      <c r="W114">
        <f t="shared" si="18"/>
        <v>0</v>
      </c>
      <c r="X114">
        <f t="shared" si="18"/>
        <v>0</v>
      </c>
      <c r="Y114">
        <f t="shared" si="18"/>
        <v>0</v>
      </c>
      <c r="Z114">
        <f t="shared" si="18"/>
        <v>0</v>
      </c>
      <c r="AA114">
        <f t="shared" si="18"/>
        <v>0</v>
      </c>
      <c r="AB114">
        <f t="shared" si="18"/>
        <v>0</v>
      </c>
      <c r="AC114">
        <f t="shared" si="18"/>
        <v>0</v>
      </c>
      <c r="AD114">
        <f t="shared" si="18"/>
        <v>0</v>
      </c>
      <c r="AE114">
        <f t="shared" si="18"/>
        <v>1</v>
      </c>
      <c r="AF114">
        <f t="shared" si="18"/>
        <v>1</v>
      </c>
      <c r="AG114">
        <f t="shared" si="18"/>
        <v>1</v>
      </c>
      <c r="AH114">
        <f t="shared" si="18"/>
        <v>1</v>
      </c>
      <c r="AI114">
        <f t="shared" si="17"/>
        <v>0</v>
      </c>
      <c r="AJ114">
        <f t="shared" si="17"/>
        <v>0</v>
      </c>
      <c r="AK114">
        <f t="shared" si="17"/>
        <v>0</v>
      </c>
      <c r="AL114">
        <f t="shared" si="17"/>
        <v>0</v>
      </c>
    </row>
    <row r="115" spans="1:38" x14ac:dyDescent="0.25">
      <c r="A115" t="s">
        <v>171</v>
      </c>
      <c r="B115" t="s">
        <v>373</v>
      </c>
      <c r="C115" t="s">
        <v>444</v>
      </c>
      <c r="D115" t="s">
        <v>337</v>
      </c>
      <c r="E115" s="9">
        <v>44951</v>
      </c>
      <c r="F115" s="9">
        <v>46227</v>
      </c>
      <c r="G115" s="2">
        <v>21470000</v>
      </c>
      <c r="H115">
        <v>16.7</v>
      </c>
      <c r="I115" t="s">
        <v>445</v>
      </c>
      <c r="J115" t="s">
        <v>445</v>
      </c>
      <c r="K115" s="9">
        <v>46227</v>
      </c>
      <c r="L115" s="2">
        <v>21470000</v>
      </c>
      <c r="M115">
        <v>16.7</v>
      </c>
      <c r="N115" s="2">
        <v>15040000</v>
      </c>
      <c r="O115" s="2">
        <v>15040000</v>
      </c>
      <c r="P115" t="s">
        <v>451</v>
      </c>
      <c r="Q115">
        <f t="shared" si="13"/>
        <v>2023</v>
      </c>
      <c r="R115">
        <f t="shared" si="14"/>
        <v>2024</v>
      </c>
      <c r="S115">
        <f t="shared" si="18"/>
        <v>0</v>
      </c>
      <c r="T115">
        <f t="shared" si="18"/>
        <v>0</v>
      </c>
      <c r="U115">
        <f t="shared" si="18"/>
        <v>0</v>
      </c>
      <c r="V115">
        <f t="shared" si="18"/>
        <v>0</v>
      </c>
      <c r="W115">
        <f t="shared" si="18"/>
        <v>0</v>
      </c>
      <c r="X115">
        <f t="shared" si="18"/>
        <v>0</v>
      </c>
      <c r="Y115">
        <f t="shared" si="18"/>
        <v>0</v>
      </c>
      <c r="Z115">
        <f t="shared" si="18"/>
        <v>0</v>
      </c>
      <c r="AA115">
        <f t="shared" si="18"/>
        <v>0</v>
      </c>
      <c r="AB115">
        <f t="shared" si="18"/>
        <v>0</v>
      </c>
      <c r="AC115">
        <f t="shared" si="18"/>
        <v>0</v>
      </c>
      <c r="AD115">
        <f t="shared" si="18"/>
        <v>0</v>
      </c>
      <c r="AE115">
        <f t="shared" si="18"/>
        <v>0</v>
      </c>
      <c r="AF115">
        <f t="shared" si="18"/>
        <v>0</v>
      </c>
      <c r="AG115">
        <f t="shared" si="18"/>
        <v>0</v>
      </c>
      <c r="AH115">
        <f t="shared" si="18"/>
        <v>0</v>
      </c>
      <c r="AI115">
        <f t="shared" si="17"/>
        <v>0</v>
      </c>
      <c r="AJ115">
        <f t="shared" si="17"/>
        <v>0</v>
      </c>
      <c r="AK115">
        <f t="shared" si="17"/>
        <v>1</v>
      </c>
      <c r="AL115">
        <f t="shared" si="17"/>
        <v>1</v>
      </c>
    </row>
    <row r="116" spans="1:38" x14ac:dyDescent="0.25">
      <c r="A116" t="s">
        <v>374</v>
      </c>
      <c r="B116" t="s">
        <v>375</v>
      </c>
      <c r="C116" t="s">
        <v>444</v>
      </c>
      <c r="D116" t="s">
        <v>337</v>
      </c>
      <c r="E116" s="9">
        <v>38842</v>
      </c>
      <c r="F116" s="9">
        <v>39937</v>
      </c>
      <c r="G116" s="2">
        <v>80080000</v>
      </c>
      <c r="H116">
        <v>65</v>
      </c>
      <c r="I116" t="s">
        <v>445</v>
      </c>
      <c r="J116" t="s">
        <v>445</v>
      </c>
      <c r="K116" s="9">
        <v>39937</v>
      </c>
      <c r="L116" s="2">
        <v>110880000</v>
      </c>
      <c r="M116">
        <v>64.3</v>
      </c>
      <c r="N116" s="2">
        <v>88000000</v>
      </c>
      <c r="O116">
        <v>0</v>
      </c>
      <c r="P116" t="s">
        <v>446</v>
      </c>
      <c r="Q116">
        <f t="shared" si="13"/>
        <v>2006</v>
      </c>
      <c r="R116">
        <f t="shared" si="14"/>
        <v>2009</v>
      </c>
      <c r="S116">
        <f t="shared" si="18"/>
        <v>0</v>
      </c>
      <c r="T116">
        <f t="shared" si="18"/>
        <v>1</v>
      </c>
      <c r="U116">
        <f t="shared" si="18"/>
        <v>1</v>
      </c>
      <c r="V116">
        <f t="shared" si="18"/>
        <v>1</v>
      </c>
      <c r="W116">
        <f t="shared" si="18"/>
        <v>1</v>
      </c>
      <c r="X116">
        <f t="shared" si="18"/>
        <v>0</v>
      </c>
      <c r="Y116">
        <f t="shared" si="18"/>
        <v>0</v>
      </c>
      <c r="Z116">
        <f t="shared" si="18"/>
        <v>0</v>
      </c>
      <c r="AA116">
        <f t="shared" si="18"/>
        <v>0</v>
      </c>
      <c r="AB116">
        <f t="shared" si="18"/>
        <v>0</v>
      </c>
      <c r="AC116">
        <f t="shared" si="18"/>
        <v>0</v>
      </c>
      <c r="AD116">
        <f t="shared" si="18"/>
        <v>0</v>
      </c>
      <c r="AE116">
        <f t="shared" si="18"/>
        <v>0</v>
      </c>
      <c r="AF116">
        <f t="shared" si="18"/>
        <v>0</v>
      </c>
      <c r="AG116">
        <f t="shared" si="18"/>
        <v>0</v>
      </c>
      <c r="AH116">
        <f t="shared" si="18"/>
        <v>0</v>
      </c>
      <c r="AI116">
        <f t="shared" si="17"/>
        <v>0</v>
      </c>
      <c r="AJ116">
        <f t="shared" si="17"/>
        <v>0</v>
      </c>
      <c r="AK116">
        <f t="shared" si="17"/>
        <v>0</v>
      </c>
      <c r="AL116">
        <f t="shared" si="17"/>
        <v>0</v>
      </c>
    </row>
    <row r="117" spans="1:38" x14ac:dyDescent="0.25">
      <c r="A117" t="s">
        <v>374</v>
      </c>
      <c r="B117" t="s">
        <v>375</v>
      </c>
      <c r="C117" t="s">
        <v>444</v>
      </c>
      <c r="D117" t="s">
        <v>337</v>
      </c>
      <c r="E117" s="9">
        <v>40207</v>
      </c>
      <c r="F117" s="9">
        <v>41302</v>
      </c>
      <c r="G117" s="2">
        <v>184800000</v>
      </c>
      <c r="H117">
        <v>150</v>
      </c>
      <c r="I117" t="s">
        <v>445</v>
      </c>
      <c r="J117" t="s">
        <v>445</v>
      </c>
      <c r="K117" s="9">
        <v>41394</v>
      </c>
      <c r="L117" s="2">
        <v>184800000</v>
      </c>
      <c r="M117">
        <v>107.1</v>
      </c>
      <c r="N117" s="2">
        <v>170880000</v>
      </c>
      <c r="O117">
        <v>0</v>
      </c>
      <c r="P117" t="s">
        <v>446</v>
      </c>
      <c r="Q117">
        <f t="shared" si="13"/>
        <v>2010</v>
      </c>
      <c r="R117">
        <f t="shared" si="14"/>
        <v>2013</v>
      </c>
      <c r="S117">
        <f t="shared" si="18"/>
        <v>0</v>
      </c>
      <c r="T117">
        <f t="shared" si="18"/>
        <v>0</v>
      </c>
      <c r="U117">
        <f t="shared" si="18"/>
        <v>0</v>
      </c>
      <c r="V117">
        <f t="shared" si="18"/>
        <v>0</v>
      </c>
      <c r="W117">
        <f t="shared" si="18"/>
        <v>0</v>
      </c>
      <c r="X117">
        <f t="shared" si="18"/>
        <v>1</v>
      </c>
      <c r="Y117">
        <f t="shared" si="18"/>
        <v>1</v>
      </c>
      <c r="Z117">
        <f t="shared" si="18"/>
        <v>1</v>
      </c>
      <c r="AA117">
        <f t="shared" si="18"/>
        <v>1</v>
      </c>
      <c r="AB117">
        <f t="shared" si="18"/>
        <v>0</v>
      </c>
      <c r="AC117">
        <f t="shared" si="18"/>
        <v>0</v>
      </c>
      <c r="AD117">
        <f t="shared" si="18"/>
        <v>0</v>
      </c>
      <c r="AE117">
        <f t="shared" si="18"/>
        <v>0</v>
      </c>
      <c r="AF117">
        <f t="shared" si="18"/>
        <v>0</v>
      </c>
      <c r="AG117">
        <f t="shared" si="18"/>
        <v>0</v>
      </c>
      <c r="AH117">
        <f t="shared" si="18"/>
        <v>0</v>
      </c>
      <c r="AI117">
        <f t="shared" si="17"/>
        <v>0</v>
      </c>
      <c r="AJ117">
        <f t="shared" si="17"/>
        <v>0</v>
      </c>
      <c r="AK117">
        <f t="shared" si="17"/>
        <v>0</v>
      </c>
      <c r="AL117">
        <f t="shared" si="17"/>
        <v>0</v>
      </c>
    </row>
    <row r="118" spans="1:38" x14ac:dyDescent="0.25">
      <c r="A118" t="s">
        <v>374</v>
      </c>
      <c r="B118" t="s">
        <v>375</v>
      </c>
      <c r="C118" t="s">
        <v>444</v>
      </c>
      <c r="D118" t="s">
        <v>337</v>
      </c>
      <c r="E118" s="9">
        <v>42681</v>
      </c>
      <c r="F118" s="9">
        <v>43775</v>
      </c>
      <c r="G118" s="2">
        <v>43100000</v>
      </c>
      <c r="H118">
        <v>25</v>
      </c>
      <c r="I118" t="s">
        <v>445</v>
      </c>
      <c r="J118" t="s">
        <v>445</v>
      </c>
      <c r="K118" s="9">
        <v>43909</v>
      </c>
      <c r="L118" s="2">
        <v>43100000</v>
      </c>
      <c r="M118">
        <v>25</v>
      </c>
      <c r="N118" s="2">
        <v>43100000</v>
      </c>
      <c r="O118" s="2">
        <v>31600000</v>
      </c>
      <c r="P118" t="s">
        <v>446</v>
      </c>
      <c r="Q118">
        <f t="shared" si="13"/>
        <v>2016</v>
      </c>
      <c r="R118">
        <f t="shared" si="14"/>
        <v>2019</v>
      </c>
      <c r="S118">
        <f t="shared" si="18"/>
        <v>0</v>
      </c>
      <c r="T118">
        <f t="shared" si="18"/>
        <v>0</v>
      </c>
      <c r="U118">
        <f t="shared" si="18"/>
        <v>0</v>
      </c>
      <c r="V118">
        <f t="shared" si="18"/>
        <v>0</v>
      </c>
      <c r="W118">
        <f t="shared" si="18"/>
        <v>0</v>
      </c>
      <c r="X118">
        <f t="shared" si="18"/>
        <v>0</v>
      </c>
      <c r="Y118">
        <f t="shared" si="18"/>
        <v>0</v>
      </c>
      <c r="Z118">
        <f t="shared" si="18"/>
        <v>0</v>
      </c>
      <c r="AA118">
        <f t="shared" si="18"/>
        <v>0</v>
      </c>
      <c r="AB118">
        <f t="shared" si="18"/>
        <v>0</v>
      </c>
      <c r="AC118">
        <f t="shared" si="18"/>
        <v>0</v>
      </c>
      <c r="AD118">
        <f t="shared" si="18"/>
        <v>1</v>
      </c>
      <c r="AE118">
        <f t="shared" si="18"/>
        <v>1</v>
      </c>
      <c r="AF118">
        <f t="shared" si="18"/>
        <v>1</v>
      </c>
      <c r="AG118">
        <f t="shared" si="18"/>
        <v>1</v>
      </c>
      <c r="AH118">
        <f t="shared" si="18"/>
        <v>0</v>
      </c>
      <c r="AI118">
        <f t="shared" si="17"/>
        <v>0</v>
      </c>
      <c r="AJ118">
        <f t="shared" si="17"/>
        <v>0</v>
      </c>
      <c r="AK118">
        <f t="shared" si="17"/>
        <v>0</v>
      </c>
      <c r="AL118">
        <f t="shared" si="17"/>
        <v>0</v>
      </c>
    </row>
    <row r="119" spans="1:38" x14ac:dyDescent="0.25">
      <c r="A119" t="s">
        <v>374</v>
      </c>
      <c r="B119" t="s">
        <v>375</v>
      </c>
      <c r="C119" t="s">
        <v>444</v>
      </c>
      <c r="D119" t="s">
        <v>337</v>
      </c>
      <c r="E119" s="9">
        <v>44550</v>
      </c>
      <c r="F119" s="9">
        <v>45766</v>
      </c>
      <c r="G119" s="2">
        <v>133300000</v>
      </c>
      <c r="H119">
        <v>77.3</v>
      </c>
      <c r="I119" t="s">
        <v>445</v>
      </c>
      <c r="J119" t="s">
        <v>445</v>
      </c>
      <c r="K119" s="9">
        <v>45949</v>
      </c>
      <c r="L119" s="2">
        <v>198087500</v>
      </c>
      <c r="M119">
        <v>114.8</v>
      </c>
      <c r="N119" s="2">
        <v>179050000</v>
      </c>
      <c r="O119" s="2">
        <v>179050000</v>
      </c>
      <c r="P119" t="s">
        <v>451</v>
      </c>
      <c r="Q119">
        <f t="shared" si="13"/>
        <v>2021</v>
      </c>
      <c r="R119">
        <f t="shared" si="14"/>
        <v>2024</v>
      </c>
      <c r="S119">
        <f t="shared" si="18"/>
        <v>0</v>
      </c>
      <c r="T119">
        <f t="shared" si="18"/>
        <v>0</v>
      </c>
      <c r="U119">
        <f t="shared" si="18"/>
        <v>0</v>
      </c>
      <c r="V119">
        <f t="shared" si="18"/>
        <v>0</v>
      </c>
      <c r="W119">
        <f t="shared" si="18"/>
        <v>0</v>
      </c>
      <c r="X119">
        <f t="shared" si="18"/>
        <v>0</v>
      </c>
      <c r="Y119">
        <f t="shared" si="18"/>
        <v>0</v>
      </c>
      <c r="Z119">
        <f t="shared" si="18"/>
        <v>0</v>
      </c>
      <c r="AA119">
        <f t="shared" si="18"/>
        <v>0</v>
      </c>
      <c r="AB119">
        <f t="shared" si="18"/>
        <v>0</v>
      </c>
      <c r="AC119">
        <f t="shared" si="18"/>
        <v>0</v>
      </c>
      <c r="AD119">
        <f t="shared" si="18"/>
        <v>0</v>
      </c>
      <c r="AE119">
        <f t="shared" si="18"/>
        <v>0</v>
      </c>
      <c r="AF119">
        <f t="shared" si="18"/>
        <v>0</v>
      </c>
      <c r="AG119">
        <f t="shared" si="18"/>
        <v>0</v>
      </c>
      <c r="AH119">
        <f t="shared" si="18"/>
        <v>0</v>
      </c>
      <c r="AI119">
        <f t="shared" si="17"/>
        <v>1</v>
      </c>
      <c r="AJ119">
        <f t="shared" si="17"/>
        <v>1</v>
      </c>
      <c r="AK119">
        <f t="shared" si="17"/>
        <v>1</v>
      </c>
      <c r="AL119">
        <f t="shared" si="17"/>
        <v>1</v>
      </c>
    </row>
    <row r="120" spans="1:38" x14ac:dyDescent="0.25">
      <c r="A120" t="s">
        <v>175</v>
      </c>
      <c r="B120" t="s">
        <v>376</v>
      </c>
      <c r="C120" t="s">
        <v>444</v>
      </c>
      <c r="D120" t="s">
        <v>453</v>
      </c>
      <c r="E120" s="9">
        <v>39994</v>
      </c>
      <c r="F120" s="9">
        <v>40358</v>
      </c>
      <c r="G120" s="2">
        <v>113600000</v>
      </c>
      <c r="H120">
        <v>100</v>
      </c>
      <c r="I120" t="s">
        <v>445</v>
      </c>
      <c r="J120" t="s">
        <v>445</v>
      </c>
      <c r="K120" s="9">
        <v>40357</v>
      </c>
      <c r="L120" s="2">
        <v>113600000</v>
      </c>
      <c r="M120">
        <v>50</v>
      </c>
      <c r="N120" s="2">
        <v>113600000</v>
      </c>
      <c r="O120">
        <v>0</v>
      </c>
      <c r="P120" t="s">
        <v>446</v>
      </c>
      <c r="Q120">
        <f t="shared" si="13"/>
        <v>2009</v>
      </c>
      <c r="R120">
        <f t="shared" si="14"/>
        <v>2010</v>
      </c>
      <c r="S120">
        <f t="shared" si="18"/>
        <v>0</v>
      </c>
      <c r="T120">
        <f t="shared" si="18"/>
        <v>0</v>
      </c>
      <c r="U120">
        <f t="shared" si="18"/>
        <v>0</v>
      </c>
      <c r="V120">
        <f t="shared" si="18"/>
        <v>0</v>
      </c>
      <c r="W120">
        <f t="shared" si="18"/>
        <v>1</v>
      </c>
      <c r="X120">
        <f t="shared" si="18"/>
        <v>1</v>
      </c>
      <c r="Y120">
        <f t="shared" si="18"/>
        <v>0</v>
      </c>
      <c r="Z120">
        <f t="shared" si="18"/>
        <v>0</v>
      </c>
      <c r="AA120">
        <f t="shared" si="18"/>
        <v>0</v>
      </c>
      <c r="AB120">
        <f t="shared" si="18"/>
        <v>0</v>
      </c>
      <c r="AC120">
        <f t="shared" si="18"/>
        <v>0</v>
      </c>
      <c r="AD120">
        <f t="shared" si="18"/>
        <v>0</v>
      </c>
      <c r="AE120">
        <f t="shared" si="18"/>
        <v>0</v>
      </c>
      <c r="AF120">
        <f t="shared" si="18"/>
        <v>0</v>
      </c>
      <c r="AG120">
        <f t="shared" si="18"/>
        <v>0</v>
      </c>
      <c r="AH120">
        <f t="shared" ref="AH120:AL135" si="19">IF(AND(AH$10 &gt;= $Q120, AH$10 &lt;= $R120), 1, 0)</f>
        <v>0</v>
      </c>
      <c r="AI120">
        <f t="shared" si="19"/>
        <v>0</v>
      </c>
      <c r="AJ120">
        <f t="shared" si="19"/>
        <v>0</v>
      </c>
      <c r="AK120">
        <f t="shared" si="19"/>
        <v>0</v>
      </c>
      <c r="AL120">
        <f t="shared" si="19"/>
        <v>0</v>
      </c>
    </row>
    <row r="121" spans="1:38" x14ac:dyDescent="0.25">
      <c r="A121" t="s">
        <v>175</v>
      </c>
      <c r="B121" t="s">
        <v>376</v>
      </c>
      <c r="C121" t="s">
        <v>444</v>
      </c>
      <c r="D121" t="s">
        <v>364</v>
      </c>
      <c r="E121" s="9">
        <v>42356</v>
      </c>
      <c r="F121" s="9">
        <v>42903</v>
      </c>
      <c r="G121" s="2">
        <v>204480000</v>
      </c>
      <c r="H121">
        <v>180</v>
      </c>
      <c r="I121" t="s">
        <v>445</v>
      </c>
      <c r="J121" t="s">
        <v>445</v>
      </c>
      <c r="K121" s="9">
        <v>42903</v>
      </c>
      <c r="L121" s="2">
        <v>204480000</v>
      </c>
      <c r="M121">
        <v>90</v>
      </c>
      <c r="N121" s="2">
        <v>85200000</v>
      </c>
      <c r="O121">
        <v>0</v>
      </c>
      <c r="P121" t="s">
        <v>446</v>
      </c>
      <c r="Q121">
        <f t="shared" si="13"/>
        <v>2015</v>
      </c>
      <c r="R121">
        <f t="shared" si="14"/>
        <v>2017</v>
      </c>
      <c r="S121">
        <f t="shared" ref="S121:AH136" si="20">IF(AND(S$10 &gt;= $Q121, S$10 &lt;= $R121), 1, 0)</f>
        <v>0</v>
      </c>
      <c r="T121">
        <f t="shared" si="20"/>
        <v>0</v>
      </c>
      <c r="U121">
        <f t="shared" si="20"/>
        <v>0</v>
      </c>
      <c r="V121">
        <f t="shared" si="20"/>
        <v>0</v>
      </c>
      <c r="W121">
        <f t="shared" si="20"/>
        <v>0</v>
      </c>
      <c r="X121">
        <f t="shared" si="20"/>
        <v>0</v>
      </c>
      <c r="Y121">
        <f t="shared" si="20"/>
        <v>0</v>
      </c>
      <c r="Z121">
        <f t="shared" si="20"/>
        <v>0</v>
      </c>
      <c r="AA121">
        <f t="shared" si="20"/>
        <v>0</v>
      </c>
      <c r="AB121">
        <f t="shared" si="20"/>
        <v>0</v>
      </c>
      <c r="AC121">
        <f t="shared" si="20"/>
        <v>1</v>
      </c>
      <c r="AD121">
        <f t="shared" si="20"/>
        <v>1</v>
      </c>
      <c r="AE121">
        <f t="shared" si="20"/>
        <v>1</v>
      </c>
      <c r="AF121">
        <f t="shared" si="20"/>
        <v>0</v>
      </c>
      <c r="AG121">
        <f t="shared" si="20"/>
        <v>0</v>
      </c>
      <c r="AH121">
        <f t="shared" si="20"/>
        <v>0</v>
      </c>
      <c r="AI121">
        <f t="shared" si="19"/>
        <v>0</v>
      </c>
      <c r="AJ121">
        <f t="shared" si="19"/>
        <v>0</v>
      </c>
      <c r="AK121">
        <f t="shared" si="19"/>
        <v>0</v>
      </c>
      <c r="AL121">
        <f t="shared" si="19"/>
        <v>0</v>
      </c>
    </row>
    <row r="122" spans="1:38" x14ac:dyDescent="0.25">
      <c r="A122" t="s">
        <v>175</v>
      </c>
      <c r="B122" t="s">
        <v>376</v>
      </c>
      <c r="C122" t="s">
        <v>444</v>
      </c>
      <c r="D122" t="s">
        <v>337</v>
      </c>
      <c r="E122" s="9">
        <v>44690</v>
      </c>
      <c r="F122" s="9">
        <v>45785</v>
      </c>
      <c r="G122" s="2">
        <v>340800000</v>
      </c>
      <c r="H122">
        <v>150</v>
      </c>
      <c r="I122" t="s">
        <v>445</v>
      </c>
      <c r="J122" t="s">
        <v>445</v>
      </c>
      <c r="K122" s="9">
        <v>45785</v>
      </c>
      <c r="L122" s="2">
        <v>340800000</v>
      </c>
      <c r="M122">
        <v>150</v>
      </c>
      <c r="N122" s="2">
        <v>249920000</v>
      </c>
      <c r="O122" s="2">
        <v>249920000</v>
      </c>
      <c r="P122" t="s">
        <v>451</v>
      </c>
      <c r="Q122">
        <f t="shared" si="13"/>
        <v>2022</v>
      </c>
      <c r="R122">
        <f t="shared" si="14"/>
        <v>2024</v>
      </c>
      <c r="S122">
        <f t="shared" si="20"/>
        <v>0</v>
      </c>
      <c r="T122">
        <f t="shared" si="20"/>
        <v>0</v>
      </c>
      <c r="U122">
        <f t="shared" si="20"/>
        <v>0</v>
      </c>
      <c r="V122">
        <f t="shared" si="20"/>
        <v>0</v>
      </c>
      <c r="W122">
        <f t="shared" si="20"/>
        <v>0</v>
      </c>
      <c r="X122">
        <f t="shared" si="20"/>
        <v>0</v>
      </c>
      <c r="Y122">
        <f t="shared" si="20"/>
        <v>0</v>
      </c>
      <c r="Z122">
        <f t="shared" si="20"/>
        <v>0</v>
      </c>
      <c r="AA122">
        <f t="shared" si="20"/>
        <v>0</v>
      </c>
      <c r="AB122">
        <f t="shared" si="20"/>
        <v>0</v>
      </c>
      <c r="AC122">
        <f t="shared" si="20"/>
        <v>0</v>
      </c>
      <c r="AD122">
        <f t="shared" si="20"/>
        <v>0</v>
      </c>
      <c r="AE122">
        <f t="shared" si="20"/>
        <v>0</v>
      </c>
      <c r="AF122">
        <f t="shared" si="20"/>
        <v>0</v>
      </c>
      <c r="AG122">
        <f t="shared" si="20"/>
        <v>0</v>
      </c>
      <c r="AH122">
        <f t="shared" si="20"/>
        <v>0</v>
      </c>
      <c r="AI122">
        <f t="shared" si="19"/>
        <v>0</v>
      </c>
      <c r="AJ122">
        <f t="shared" si="19"/>
        <v>1</v>
      </c>
      <c r="AK122">
        <f t="shared" si="19"/>
        <v>1</v>
      </c>
      <c r="AL122">
        <f t="shared" si="19"/>
        <v>1</v>
      </c>
    </row>
    <row r="123" spans="1:38" x14ac:dyDescent="0.25">
      <c r="A123" t="s">
        <v>179</v>
      </c>
      <c r="B123" t="s">
        <v>377</v>
      </c>
      <c r="C123" t="s">
        <v>444</v>
      </c>
      <c r="D123" t="s">
        <v>337</v>
      </c>
      <c r="E123" s="9">
        <v>44573</v>
      </c>
      <c r="F123" s="9">
        <v>45727</v>
      </c>
      <c r="G123" s="2">
        <v>282420000</v>
      </c>
      <c r="H123">
        <v>180</v>
      </c>
      <c r="I123" t="s">
        <v>445</v>
      </c>
      <c r="J123" t="s">
        <v>445</v>
      </c>
      <c r="K123" s="9">
        <v>46033</v>
      </c>
      <c r="L123" s="2">
        <v>282420000</v>
      </c>
      <c r="M123">
        <v>180</v>
      </c>
      <c r="N123" s="2">
        <v>188300000</v>
      </c>
      <c r="O123" s="2">
        <v>188300000</v>
      </c>
      <c r="P123" t="s">
        <v>451</v>
      </c>
      <c r="Q123">
        <f t="shared" si="13"/>
        <v>2022</v>
      </c>
      <c r="R123">
        <f t="shared" si="14"/>
        <v>2024</v>
      </c>
      <c r="S123">
        <f t="shared" si="20"/>
        <v>0</v>
      </c>
      <c r="T123">
        <f t="shared" si="20"/>
        <v>0</v>
      </c>
      <c r="U123">
        <f t="shared" si="20"/>
        <v>0</v>
      </c>
      <c r="V123">
        <f t="shared" si="20"/>
        <v>0</v>
      </c>
      <c r="W123">
        <f t="shared" si="20"/>
        <v>0</v>
      </c>
      <c r="X123">
        <f t="shared" si="20"/>
        <v>0</v>
      </c>
      <c r="Y123">
        <f t="shared" si="20"/>
        <v>0</v>
      </c>
      <c r="Z123">
        <f t="shared" si="20"/>
        <v>0</v>
      </c>
      <c r="AA123">
        <f t="shared" si="20"/>
        <v>0</v>
      </c>
      <c r="AB123">
        <f t="shared" si="20"/>
        <v>0</v>
      </c>
      <c r="AC123">
        <f t="shared" si="20"/>
        <v>0</v>
      </c>
      <c r="AD123">
        <f t="shared" si="20"/>
        <v>0</v>
      </c>
      <c r="AE123">
        <f t="shared" si="20"/>
        <v>0</v>
      </c>
      <c r="AF123">
        <f t="shared" si="20"/>
        <v>0</v>
      </c>
      <c r="AG123">
        <f t="shared" si="20"/>
        <v>0</v>
      </c>
      <c r="AH123">
        <f t="shared" si="20"/>
        <v>0</v>
      </c>
      <c r="AI123">
        <f t="shared" si="19"/>
        <v>0</v>
      </c>
      <c r="AJ123">
        <f t="shared" si="19"/>
        <v>1</v>
      </c>
      <c r="AK123">
        <f t="shared" si="19"/>
        <v>1</v>
      </c>
      <c r="AL123">
        <f t="shared" si="19"/>
        <v>1</v>
      </c>
    </row>
    <row r="124" spans="1:38" x14ac:dyDescent="0.25">
      <c r="A124" t="s">
        <v>180</v>
      </c>
      <c r="B124" t="s">
        <v>378</v>
      </c>
      <c r="C124" t="s">
        <v>444</v>
      </c>
      <c r="D124" t="s">
        <v>337</v>
      </c>
      <c r="E124" s="9">
        <v>39360</v>
      </c>
      <c r="F124" s="9">
        <v>40455</v>
      </c>
      <c r="G124" s="2">
        <v>71500000</v>
      </c>
      <c r="H124">
        <v>55</v>
      </c>
      <c r="I124" t="s">
        <v>445</v>
      </c>
      <c r="J124" t="s">
        <v>445</v>
      </c>
      <c r="K124" s="9">
        <v>40847</v>
      </c>
      <c r="L124" s="2">
        <v>78000000</v>
      </c>
      <c r="M124">
        <v>30</v>
      </c>
      <c r="N124" s="2">
        <v>78000000</v>
      </c>
      <c r="O124">
        <v>0</v>
      </c>
      <c r="P124" t="s">
        <v>446</v>
      </c>
      <c r="Q124">
        <f t="shared" si="13"/>
        <v>2007</v>
      </c>
      <c r="R124">
        <f t="shared" si="14"/>
        <v>2010</v>
      </c>
      <c r="S124">
        <f t="shared" si="20"/>
        <v>0</v>
      </c>
      <c r="T124">
        <f t="shared" si="20"/>
        <v>0</v>
      </c>
      <c r="U124">
        <f t="shared" si="20"/>
        <v>1</v>
      </c>
      <c r="V124">
        <f t="shared" si="20"/>
        <v>1</v>
      </c>
      <c r="W124">
        <f t="shared" si="20"/>
        <v>1</v>
      </c>
      <c r="X124">
        <f t="shared" si="20"/>
        <v>1</v>
      </c>
      <c r="Y124">
        <f t="shared" si="20"/>
        <v>0</v>
      </c>
      <c r="Z124">
        <f t="shared" si="20"/>
        <v>0</v>
      </c>
      <c r="AA124">
        <f t="shared" si="20"/>
        <v>0</v>
      </c>
      <c r="AB124">
        <f t="shared" si="20"/>
        <v>0</v>
      </c>
      <c r="AC124">
        <f t="shared" si="20"/>
        <v>0</v>
      </c>
      <c r="AD124">
        <f t="shared" si="20"/>
        <v>0</v>
      </c>
      <c r="AE124">
        <f t="shared" si="20"/>
        <v>0</v>
      </c>
      <c r="AF124">
        <f t="shared" si="20"/>
        <v>0</v>
      </c>
      <c r="AG124">
        <f t="shared" si="20"/>
        <v>0</v>
      </c>
      <c r="AH124">
        <f t="shared" si="20"/>
        <v>0</v>
      </c>
      <c r="AI124">
        <f t="shared" si="19"/>
        <v>0</v>
      </c>
      <c r="AJ124">
        <f t="shared" si="19"/>
        <v>0</v>
      </c>
      <c r="AK124">
        <f t="shared" si="19"/>
        <v>0</v>
      </c>
      <c r="AL124">
        <f t="shared" si="19"/>
        <v>0</v>
      </c>
    </row>
    <row r="125" spans="1:38" x14ac:dyDescent="0.25">
      <c r="A125" t="s">
        <v>182</v>
      </c>
      <c r="B125" t="s">
        <v>379</v>
      </c>
      <c r="C125" t="s">
        <v>444</v>
      </c>
      <c r="D125" t="s">
        <v>337</v>
      </c>
      <c r="E125" s="9">
        <v>38383</v>
      </c>
      <c r="F125" s="9">
        <v>39477</v>
      </c>
      <c r="G125" s="2">
        <v>6580000</v>
      </c>
      <c r="H125">
        <v>10</v>
      </c>
      <c r="I125" t="s">
        <v>445</v>
      </c>
      <c r="J125" t="s">
        <v>445</v>
      </c>
      <c r="K125" s="9">
        <v>39598</v>
      </c>
      <c r="L125" s="2">
        <v>26320000</v>
      </c>
      <c r="M125">
        <v>20</v>
      </c>
      <c r="N125" s="2">
        <v>26320000</v>
      </c>
      <c r="O125">
        <v>0</v>
      </c>
      <c r="P125" t="s">
        <v>446</v>
      </c>
      <c r="Q125">
        <f t="shared" si="13"/>
        <v>2005</v>
      </c>
      <c r="R125">
        <f t="shared" si="14"/>
        <v>2008</v>
      </c>
      <c r="S125">
        <f t="shared" si="20"/>
        <v>1</v>
      </c>
      <c r="T125">
        <f t="shared" si="20"/>
        <v>1</v>
      </c>
      <c r="U125">
        <f t="shared" si="20"/>
        <v>1</v>
      </c>
      <c r="V125">
        <f t="shared" si="20"/>
        <v>1</v>
      </c>
      <c r="W125">
        <f t="shared" si="20"/>
        <v>0</v>
      </c>
      <c r="X125">
        <f t="shared" si="20"/>
        <v>0</v>
      </c>
      <c r="Y125">
        <f t="shared" si="20"/>
        <v>0</v>
      </c>
      <c r="Z125">
        <f t="shared" si="20"/>
        <v>0</v>
      </c>
      <c r="AA125">
        <f t="shared" si="20"/>
        <v>0</v>
      </c>
      <c r="AB125">
        <f t="shared" si="20"/>
        <v>0</v>
      </c>
      <c r="AC125">
        <f t="shared" si="20"/>
        <v>0</v>
      </c>
      <c r="AD125">
        <f t="shared" si="20"/>
        <v>0</v>
      </c>
      <c r="AE125">
        <f t="shared" si="20"/>
        <v>0</v>
      </c>
      <c r="AF125">
        <f t="shared" si="20"/>
        <v>0</v>
      </c>
      <c r="AG125">
        <f t="shared" si="20"/>
        <v>0</v>
      </c>
      <c r="AH125">
        <f t="shared" si="20"/>
        <v>0</v>
      </c>
      <c r="AI125">
        <f t="shared" si="19"/>
        <v>0</v>
      </c>
      <c r="AJ125">
        <f t="shared" si="19"/>
        <v>0</v>
      </c>
      <c r="AK125">
        <f t="shared" si="19"/>
        <v>0</v>
      </c>
      <c r="AL125">
        <f t="shared" si="19"/>
        <v>0</v>
      </c>
    </row>
    <row r="126" spans="1:38" x14ac:dyDescent="0.25">
      <c r="A126" t="s">
        <v>182</v>
      </c>
      <c r="B126" t="s">
        <v>379</v>
      </c>
      <c r="C126" t="s">
        <v>444</v>
      </c>
      <c r="D126" t="s">
        <v>337</v>
      </c>
      <c r="E126" s="9">
        <v>39601</v>
      </c>
      <c r="F126" s="9">
        <v>40695</v>
      </c>
      <c r="G126" s="2">
        <v>23030000</v>
      </c>
      <c r="H126">
        <v>35</v>
      </c>
      <c r="I126" t="s">
        <v>445</v>
      </c>
      <c r="J126" t="s">
        <v>445</v>
      </c>
      <c r="K126" s="9">
        <v>40695</v>
      </c>
      <c r="L126" s="2">
        <v>23030000</v>
      </c>
      <c r="M126">
        <v>17.5</v>
      </c>
      <c r="N126" s="2">
        <v>13160000</v>
      </c>
      <c r="O126">
        <v>0</v>
      </c>
      <c r="P126" t="s">
        <v>446</v>
      </c>
      <c r="Q126">
        <f t="shared" si="13"/>
        <v>2008</v>
      </c>
      <c r="R126">
        <f t="shared" si="14"/>
        <v>2011</v>
      </c>
      <c r="S126">
        <f t="shared" si="20"/>
        <v>0</v>
      </c>
      <c r="T126">
        <f t="shared" si="20"/>
        <v>0</v>
      </c>
      <c r="U126">
        <f t="shared" si="20"/>
        <v>0</v>
      </c>
      <c r="V126">
        <f t="shared" si="20"/>
        <v>1</v>
      </c>
      <c r="W126">
        <f t="shared" si="20"/>
        <v>1</v>
      </c>
      <c r="X126">
        <f t="shared" si="20"/>
        <v>1</v>
      </c>
      <c r="Y126">
        <f t="shared" si="20"/>
        <v>1</v>
      </c>
      <c r="Z126">
        <f t="shared" si="20"/>
        <v>0</v>
      </c>
      <c r="AA126">
        <f t="shared" si="20"/>
        <v>0</v>
      </c>
      <c r="AB126">
        <f t="shared" si="20"/>
        <v>0</v>
      </c>
      <c r="AC126">
        <f t="shared" si="20"/>
        <v>0</v>
      </c>
      <c r="AD126">
        <f t="shared" si="20"/>
        <v>0</v>
      </c>
      <c r="AE126">
        <f t="shared" si="20"/>
        <v>0</v>
      </c>
      <c r="AF126">
        <f t="shared" si="20"/>
        <v>0</v>
      </c>
      <c r="AG126">
        <f t="shared" si="20"/>
        <v>0</v>
      </c>
      <c r="AH126">
        <f t="shared" si="20"/>
        <v>0</v>
      </c>
      <c r="AI126">
        <f t="shared" si="19"/>
        <v>0</v>
      </c>
      <c r="AJ126">
        <f t="shared" si="19"/>
        <v>0</v>
      </c>
      <c r="AK126">
        <f t="shared" si="19"/>
        <v>0</v>
      </c>
      <c r="AL126">
        <f t="shared" si="19"/>
        <v>0</v>
      </c>
    </row>
    <row r="127" spans="1:38" x14ac:dyDescent="0.25">
      <c r="A127" t="s">
        <v>182</v>
      </c>
      <c r="B127" t="s">
        <v>379</v>
      </c>
      <c r="C127" t="s">
        <v>444</v>
      </c>
      <c r="D127" t="s">
        <v>337</v>
      </c>
      <c r="E127" s="9">
        <v>40984</v>
      </c>
      <c r="F127" s="9">
        <v>42078</v>
      </c>
      <c r="G127" s="2">
        <v>78960000</v>
      </c>
      <c r="H127">
        <v>120</v>
      </c>
      <c r="I127" t="s">
        <v>445</v>
      </c>
      <c r="J127" t="s">
        <v>445</v>
      </c>
      <c r="K127" s="9">
        <v>42735</v>
      </c>
      <c r="L127" s="2">
        <v>120085000</v>
      </c>
      <c r="M127">
        <v>91.3</v>
      </c>
      <c r="N127" s="2">
        <v>107745000</v>
      </c>
      <c r="O127" s="2">
        <v>12737000</v>
      </c>
      <c r="P127" t="s">
        <v>446</v>
      </c>
      <c r="Q127">
        <f t="shared" si="13"/>
        <v>2012</v>
      </c>
      <c r="R127">
        <f t="shared" si="14"/>
        <v>2015</v>
      </c>
      <c r="S127">
        <f t="shared" si="20"/>
        <v>0</v>
      </c>
      <c r="T127">
        <f t="shared" si="20"/>
        <v>0</v>
      </c>
      <c r="U127">
        <f t="shared" si="20"/>
        <v>0</v>
      </c>
      <c r="V127">
        <f t="shared" si="20"/>
        <v>0</v>
      </c>
      <c r="W127">
        <f t="shared" si="20"/>
        <v>0</v>
      </c>
      <c r="X127">
        <f t="shared" si="20"/>
        <v>0</v>
      </c>
      <c r="Y127">
        <f t="shared" si="20"/>
        <v>0</v>
      </c>
      <c r="Z127">
        <f t="shared" si="20"/>
        <v>1</v>
      </c>
      <c r="AA127">
        <f t="shared" si="20"/>
        <v>1</v>
      </c>
      <c r="AB127">
        <f t="shared" si="20"/>
        <v>1</v>
      </c>
      <c r="AC127">
        <f t="shared" si="20"/>
        <v>1</v>
      </c>
      <c r="AD127">
        <f t="shared" si="20"/>
        <v>0</v>
      </c>
      <c r="AE127">
        <f t="shared" si="20"/>
        <v>0</v>
      </c>
      <c r="AF127">
        <f t="shared" si="20"/>
        <v>0</v>
      </c>
      <c r="AG127">
        <f t="shared" si="20"/>
        <v>0</v>
      </c>
      <c r="AH127">
        <f t="shared" si="20"/>
        <v>0</v>
      </c>
      <c r="AI127">
        <f t="shared" si="19"/>
        <v>0</v>
      </c>
      <c r="AJ127">
        <f t="shared" si="19"/>
        <v>0</v>
      </c>
      <c r="AK127">
        <f t="shared" si="19"/>
        <v>0</v>
      </c>
      <c r="AL127">
        <f t="shared" si="19"/>
        <v>0</v>
      </c>
    </row>
    <row r="128" spans="1:38" x14ac:dyDescent="0.25">
      <c r="A128" t="s">
        <v>182</v>
      </c>
      <c r="B128" t="s">
        <v>379</v>
      </c>
      <c r="C128" t="s">
        <v>444</v>
      </c>
      <c r="D128" t="s">
        <v>337</v>
      </c>
      <c r="E128" s="9">
        <v>42758</v>
      </c>
      <c r="F128" s="9">
        <v>43852</v>
      </c>
      <c r="G128" s="2">
        <v>98700000</v>
      </c>
      <c r="H128">
        <v>75</v>
      </c>
      <c r="I128" t="s">
        <v>445</v>
      </c>
      <c r="J128" t="s">
        <v>445</v>
      </c>
      <c r="K128" s="9">
        <v>44132</v>
      </c>
      <c r="L128" s="2">
        <v>118440000</v>
      </c>
      <c r="M128">
        <v>90</v>
      </c>
      <c r="N128" s="2">
        <v>118440000</v>
      </c>
      <c r="O128" s="2">
        <v>98700000</v>
      </c>
      <c r="P128" t="s">
        <v>446</v>
      </c>
      <c r="Q128">
        <f t="shared" si="13"/>
        <v>2017</v>
      </c>
      <c r="R128">
        <f t="shared" si="14"/>
        <v>2020</v>
      </c>
      <c r="S128">
        <f t="shared" si="20"/>
        <v>0</v>
      </c>
      <c r="T128">
        <f t="shared" si="20"/>
        <v>0</v>
      </c>
      <c r="U128">
        <f t="shared" si="20"/>
        <v>0</v>
      </c>
      <c r="V128">
        <f t="shared" si="20"/>
        <v>0</v>
      </c>
      <c r="W128">
        <f t="shared" si="20"/>
        <v>0</v>
      </c>
      <c r="X128">
        <f t="shared" si="20"/>
        <v>0</v>
      </c>
      <c r="Y128">
        <f t="shared" si="20"/>
        <v>0</v>
      </c>
      <c r="Z128">
        <f t="shared" si="20"/>
        <v>0</v>
      </c>
      <c r="AA128">
        <f t="shared" si="20"/>
        <v>0</v>
      </c>
      <c r="AB128">
        <f t="shared" si="20"/>
        <v>0</v>
      </c>
      <c r="AC128">
        <f t="shared" si="20"/>
        <v>0</v>
      </c>
      <c r="AD128">
        <f t="shared" si="20"/>
        <v>0</v>
      </c>
      <c r="AE128">
        <f t="shared" si="20"/>
        <v>1</v>
      </c>
      <c r="AF128">
        <f t="shared" si="20"/>
        <v>1</v>
      </c>
      <c r="AG128">
        <f t="shared" si="20"/>
        <v>1</v>
      </c>
      <c r="AH128">
        <f t="shared" si="20"/>
        <v>1</v>
      </c>
      <c r="AI128">
        <f t="shared" si="19"/>
        <v>0</v>
      </c>
      <c r="AJ128">
        <f t="shared" si="19"/>
        <v>0</v>
      </c>
      <c r="AK128">
        <f t="shared" si="19"/>
        <v>0</v>
      </c>
      <c r="AL128">
        <f t="shared" si="19"/>
        <v>0</v>
      </c>
    </row>
    <row r="129" spans="1:38" x14ac:dyDescent="0.25">
      <c r="A129" t="s">
        <v>182</v>
      </c>
      <c r="B129" t="s">
        <v>379</v>
      </c>
      <c r="C129" t="s">
        <v>444</v>
      </c>
      <c r="D129" t="s">
        <v>337</v>
      </c>
      <c r="E129" s="9">
        <v>44538</v>
      </c>
      <c r="F129" s="9">
        <v>45633</v>
      </c>
      <c r="G129" s="2">
        <v>197400000</v>
      </c>
      <c r="H129">
        <v>150</v>
      </c>
      <c r="I129" t="s">
        <v>445</v>
      </c>
      <c r="J129" t="s">
        <v>445</v>
      </c>
      <c r="K129" s="9">
        <v>45998</v>
      </c>
      <c r="L129" s="2">
        <v>197400000</v>
      </c>
      <c r="M129">
        <v>150</v>
      </c>
      <c r="N129" s="2">
        <v>157920000</v>
      </c>
      <c r="O129" s="2">
        <v>157920000</v>
      </c>
      <c r="P129" t="s">
        <v>451</v>
      </c>
      <c r="Q129">
        <f t="shared" si="13"/>
        <v>2021</v>
      </c>
      <c r="R129">
        <f t="shared" si="14"/>
        <v>2024</v>
      </c>
      <c r="S129">
        <f t="shared" si="20"/>
        <v>0</v>
      </c>
      <c r="T129">
        <f t="shared" si="20"/>
        <v>0</v>
      </c>
      <c r="U129">
        <f t="shared" si="20"/>
        <v>0</v>
      </c>
      <c r="V129">
        <f t="shared" si="20"/>
        <v>0</v>
      </c>
      <c r="W129">
        <f t="shared" si="20"/>
        <v>0</v>
      </c>
      <c r="X129">
        <f t="shared" si="20"/>
        <v>0</v>
      </c>
      <c r="Y129">
        <f t="shared" si="20"/>
        <v>0</v>
      </c>
      <c r="Z129">
        <f t="shared" si="20"/>
        <v>0</v>
      </c>
      <c r="AA129">
        <f t="shared" si="20"/>
        <v>0</v>
      </c>
      <c r="AB129">
        <f t="shared" si="20"/>
        <v>0</v>
      </c>
      <c r="AC129">
        <f t="shared" si="20"/>
        <v>0</v>
      </c>
      <c r="AD129">
        <f t="shared" si="20"/>
        <v>0</v>
      </c>
      <c r="AE129">
        <f t="shared" si="20"/>
        <v>0</v>
      </c>
      <c r="AF129">
        <f t="shared" si="20"/>
        <v>0</v>
      </c>
      <c r="AG129">
        <f t="shared" si="20"/>
        <v>0</v>
      </c>
      <c r="AH129">
        <f t="shared" si="20"/>
        <v>0</v>
      </c>
      <c r="AI129">
        <f t="shared" si="19"/>
        <v>1</v>
      </c>
      <c r="AJ129">
        <f t="shared" si="19"/>
        <v>1</v>
      </c>
      <c r="AK129">
        <f t="shared" si="19"/>
        <v>1</v>
      </c>
      <c r="AL129">
        <f t="shared" si="19"/>
        <v>1</v>
      </c>
    </row>
    <row r="130" spans="1:38" x14ac:dyDescent="0.25">
      <c r="A130" t="s">
        <v>183</v>
      </c>
      <c r="B130" t="s">
        <v>380</v>
      </c>
      <c r="C130" t="s">
        <v>444</v>
      </c>
      <c r="D130" t="s">
        <v>337</v>
      </c>
      <c r="E130" s="9">
        <v>45007</v>
      </c>
      <c r="F130" s="9">
        <v>46163</v>
      </c>
      <c r="G130" s="2">
        <v>228110000</v>
      </c>
      <c r="H130">
        <v>86.7</v>
      </c>
      <c r="I130" t="s">
        <v>445</v>
      </c>
      <c r="J130" t="s">
        <v>445</v>
      </c>
      <c r="K130" s="9">
        <v>46377</v>
      </c>
      <c r="L130" s="2">
        <v>228110000</v>
      </c>
      <c r="M130">
        <v>86.7</v>
      </c>
      <c r="N130" s="2">
        <v>107040000</v>
      </c>
      <c r="O130" s="2">
        <v>107040000</v>
      </c>
      <c r="P130" t="s">
        <v>451</v>
      </c>
      <c r="Q130">
        <f t="shared" si="13"/>
        <v>2023</v>
      </c>
      <c r="R130">
        <f t="shared" si="14"/>
        <v>2024</v>
      </c>
      <c r="S130">
        <f t="shared" si="20"/>
        <v>0</v>
      </c>
      <c r="T130">
        <f t="shared" si="20"/>
        <v>0</v>
      </c>
      <c r="U130">
        <f t="shared" si="20"/>
        <v>0</v>
      </c>
      <c r="V130">
        <f t="shared" si="20"/>
        <v>0</v>
      </c>
      <c r="W130">
        <f t="shared" si="20"/>
        <v>0</v>
      </c>
      <c r="X130">
        <f t="shared" si="20"/>
        <v>0</v>
      </c>
      <c r="Y130">
        <f t="shared" si="20"/>
        <v>0</v>
      </c>
      <c r="Z130">
        <f t="shared" si="20"/>
        <v>0</v>
      </c>
      <c r="AA130">
        <f t="shared" si="20"/>
        <v>0</v>
      </c>
      <c r="AB130">
        <f t="shared" si="20"/>
        <v>0</v>
      </c>
      <c r="AC130">
        <f t="shared" si="20"/>
        <v>0</v>
      </c>
      <c r="AD130">
        <f t="shared" si="20"/>
        <v>0</v>
      </c>
      <c r="AE130">
        <f t="shared" si="20"/>
        <v>0</v>
      </c>
      <c r="AF130">
        <f t="shared" si="20"/>
        <v>0</v>
      </c>
      <c r="AG130">
        <f t="shared" si="20"/>
        <v>0</v>
      </c>
      <c r="AH130">
        <f t="shared" si="20"/>
        <v>0</v>
      </c>
      <c r="AI130">
        <f t="shared" si="19"/>
        <v>0</v>
      </c>
      <c r="AJ130">
        <f t="shared" si="19"/>
        <v>0</v>
      </c>
      <c r="AK130">
        <f t="shared" si="19"/>
        <v>1</v>
      </c>
      <c r="AL130">
        <f t="shared" si="19"/>
        <v>1</v>
      </c>
    </row>
    <row r="131" spans="1:38" x14ac:dyDescent="0.25">
      <c r="A131" t="s">
        <v>184</v>
      </c>
      <c r="B131" t="s">
        <v>381</v>
      </c>
      <c r="C131" t="s">
        <v>444</v>
      </c>
      <c r="D131" t="s">
        <v>337</v>
      </c>
      <c r="E131" s="9">
        <v>38880</v>
      </c>
      <c r="F131" s="9">
        <v>39975</v>
      </c>
      <c r="G131" s="2">
        <v>8010000</v>
      </c>
      <c r="H131">
        <v>10</v>
      </c>
      <c r="I131" t="s">
        <v>445</v>
      </c>
      <c r="J131" t="s">
        <v>445</v>
      </c>
      <c r="K131" s="9">
        <v>40032</v>
      </c>
      <c r="L131" s="2">
        <v>8010000</v>
      </c>
      <c r="M131">
        <v>5</v>
      </c>
      <c r="N131" s="2">
        <v>8010000</v>
      </c>
      <c r="O131">
        <v>0</v>
      </c>
      <c r="P131" t="s">
        <v>446</v>
      </c>
      <c r="Q131">
        <f t="shared" si="13"/>
        <v>2006</v>
      </c>
      <c r="R131">
        <f t="shared" si="14"/>
        <v>2009</v>
      </c>
      <c r="S131">
        <f t="shared" si="20"/>
        <v>0</v>
      </c>
      <c r="T131">
        <f t="shared" si="20"/>
        <v>1</v>
      </c>
      <c r="U131">
        <f t="shared" si="20"/>
        <v>1</v>
      </c>
      <c r="V131">
        <f t="shared" si="20"/>
        <v>1</v>
      </c>
      <c r="W131">
        <f t="shared" si="20"/>
        <v>1</v>
      </c>
      <c r="X131">
        <f t="shared" si="20"/>
        <v>0</v>
      </c>
      <c r="Y131">
        <f t="shared" si="20"/>
        <v>0</v>
      </c>
      <c r="Z131">
        <f t="shared" si="20"/>
        <v>0</v>
      </c>
      <c r="AA131">
        <f t="shared" si="20"/>
        <v>0</v>
      </c>
      <c r="AB131">
        <f t="shared" si="20"/>
        <v>0</v>
      </c>
      <c r="AC131">
        <f t="shared" si="20"/>
        <v>0</v>
      </c>
      <c r="AD131">
        <f t="shared" si="20"/>
        <v>0</v>
      </c>
      <c r="AE131">
        <f t="shared" si="20"/>
        <v>0</v>
      </c>
      <c r="AF131">
        <f t="shared" si="20"/>
        <v>0</v>
      </c>
      <c r="AG131">
        <f t="shared" si="20"/>
        <v>0</v>
      </c>
      <c r="AH131">
        <f t="shared" si="20"/>
        <v>0</v>
      </c>
      <c r="AI131">
        <f t="shared" si="19"/>
        <v>0</v>
      </c>
      <c r="AJ131">
        <f t="shared" si="19"/>
        <v>0</v>
      </c>
      <c r="AK131">
        <f t="shared" si="19"/>
        <v>0</v>
      </c>
      <c r="AL131">
        <f t="shared" si="19"/>
        <v>0</v>
      </c>
    </row>
    <row r="132" spans="1:38" x14ac:dyDescent="0.25">
      <c r="A132" t="s">
        <v>184</v>
      </c>
      <c r="B132" t="s">
        <v>381</v>
      </c>
      <c r="C132" t="s">
        <v>444</v>
      </c>
      <c r="D132" t="s">
        <v>364</v>
      </c>
      <c r="E132" s="9">
        <v>42529</v>
      </c>
      <c r="F132" s="9">
        <v>43076</v>
      </c>
      <c r="G132" s="2">
        <v>144180000</v>
      </c>
      <c r="H132">
        <v>90</v>
      </c>
      <c r="I132" t="s">
        <v>455</v>
      </c>
      <c r="J132" t="s">
        <v>445</v>
      </c>
      <c r="K132" s="9">
        <v>43122</v>
      </c>
      <c r="L132" s="2">
        <v>144180000</v>
      </c>
      <c r="M132">
        <v>90</v>
      </c>
      <c r="N132" s="2">
        <v>144180000</v>
      </c>
      <c r="O132" s="2">
        <v>14017500</v>
      </c>
      <c r="P132" t="s">
        <v>446</v>
      </c>
      <c r="Q132">
        <f t="shared" si="13"/>
        <v>2016</v>
      </c>
      <c r="R132">
        <f t="shared" si="14"/>
        <v>2017</v>
      </c>
      <c r="S132">
        <f t="shared" si="20"/>
        <v>0</v>
      </c>
      <c r="T132">
        <f t="shared" si="20"/>
        <v>0</v>
      </c>
      <c r="U132">
        <f t="shared" si="20"/>
        <v>0</v>
      </c>
      <c r="V132">
        <f t="shared" si="20"/>
        <v>0</v>
      </c>
      <c r="W132">
        <f t="shared" si="20"/>
        <v>0</v>
      </c>
      <c r="X132">
        <f t="shared" si="20"/>
        <v>0</v>
      </c>
      <c r="Y132">
        <f t="shared" si="20"/>
        <v>0</v>
      </c>
      <c r="Z132">
        <f t="shared" si="20"/>
        <v>0</v>
      </c>
      <c r="AA132">
        <f t="shared" si="20"/>
        <v>0</v>
      </c>
      <c r="AB132">
        <f t="shared" si="20"/>
        <v>0</v>
      </c>
      <c r="AC132">
        <f t="shared" si="20"/>
        <v>0</v>
      </c>
      <c r="AD132">
        <f t="shared" si="20"/>
        <v>1</v>
      </c>
      <c r="AE132">
        <f t="shared" si="20"/>
        <v>1</v>
      </c>
      <c r="AF132">
        <f t="shared" si="20"/>
        <v>0</v>
      </c>
      <c r="AG132">
        <f t="shared" si="20"/>
        <v>0</v>
      </c>
      <c r="AH132">
        <f t="shared" si="20"/>
        <v>0</v>
      </c>
      <c r="AI132">
        <f t="shared" si="19"/>
        <v>0</v>
      </c>
      <c r="AJ132">
        <f t="shared" si="19"/>
        <v>0</v>
      </c>
      <c r="AK132">
        <f t="shared" si="19"/>
        <v>0</v>
      </c>
      <c r="AL132">
        <f t="shared" si="19"/>
        <v>0</v>
      </c>
    </row>
    <row r="133" spans="1:38" x14ac:dyDescent="0.25">
      <c r="A133" t="s">
        <v>184</v>
      </c>
      <c r="B133" t="s">
        <v>381</v>
      </c>
      <c r="C133" t="s">
        <v>444</v>
      </c>
      <c r="D133" t="s">
        <v>364</v>
      </c>
      <c r="E133" s="9">
        <v>45274</v>
      </c>
      <c r="F133" s="9">
        <v>45701</v>
      </c>
      <c r="G133" s="2">
        <v>200250000</v>
      </c>
      <c r="H133">
        <v>125</v>
      </c>
      <c r="I133" t="s">
        <v>445</v>
      </c>
      <c r="J133" t="s">
        <v>445</v>
      </c>
      <c r="K133" s="9">
        <v>45643</v>
      </c>
      <c r="L133" s="2">
        <v>200250000</v>
      </c>
      <c r="M133">
        <v>125</v>
      </c>
      <c r="N133" s="2">
        <v>200250000</v>
      </c>
      <c r="O133" s="2">
        <v>200250000</v>
      </c>
      <c r="P133" t="s">
        <v>446</v>
      </c>
      <c r="Q133">
        <f t="shared" si="13"/>
        <v>2023</v>
      </c>
      <c r="R133">
        <f t="shared" si="14"/>
        <v>2024</v>
      </c>
      <c r="S133">
        <f t="shared" si="20"/>
        <v>0</v>
      </c>
      <c r="T133">
        <f t="shared" si="20"/>
        <v>0</v>
      </c>
      <c r="U133">
        <f t="shared" si="20"/>
        <v>0</v>
      </c>
      <c r="V133">
        <f t="shared" si="20"/>
        <v>0</v>
      </c>
      <c r="W133">
        <f t="shared" si="20"/>
        <v>0</v>
      </c>
      <c r="X133">
        <f t="shared" si="20"/>
        <v>0</v>
      </c>
      <c r="Y133">
        <f t="shared" si="20"/>
        <v>0</v>
      </c>
      <c r="Z133">
        <f t="shared" si="20"/>
        <v>0</v>
      </c>
      <c r="AA133">
        <f t="shared" si="20"/>
        <v>0</v>
      </c>
      <c r="AB133">
        <f t="shared" si="20"/>
        <v>0</v>
      </c>
      <c r="AC133">
        <f t="shared" si="20"/>
        <v>0</v>
      </c>
      <c r="AD133">
        <f t="shared" si="20"/>
        <v>0</v>
      </c>
      <c r="AE133">
        <f t="shared" si="20"/>
        <v>0</v>
      </c>
      <c r="AF133">
        <f t="shared" si="20"/>
        <v>0</v>
      </c>
      <c r="AG133">
        <f t="shared" si="20"/>
        <v>0</v>
      </c>
      <c r="AH133">
        <f t="shared" si="20"/>
        <v>0</v>
      </c>
      <c r="AI133">
        <f t="shared" si="19"/>
        <v>0</v>
      </c>
      <c r="AJ133">
        <f t="shared" si="19"/>
        <v>0</v>
      </c>
      <c r="AK133">
        <f t="shared" si="19"/>
        <v>1</v>
      </c>
      <c r="AL133">
        <f t="shared" si="19"/>
        <v>1</v>
      </c>
    </row>
    <row r="134" spans="1:38" x14ac:dyDescent="0.25">
      <c r="A134" t="s">
        <v>382</v>
      </c>
      <c r="B134" t="s">
        <v>383</v>
      </c>
      <c r="C134" t="s">
        <v>444</v>
      </c>
      <c r="D134" t="s">
        <v>337</v>
      </c>
      <c r="E134" s="9">
        <v>38565</v>
      </c>
      <c r="F134" s="9">
        <v>39660</v>
      </c>
      <c r="G134" s="2">
        <v>2960000</v>
      </c>
      <c r="H134">
        <v>40</v>
      </c>
      <c r="I134" t="s">
        <v>445</v>
      </c>
      <c r="J134" t="s">
        <v>445</v>
      </c>
      <c r="K134" s="9">
        <v>39632</v>
      </c>
      <c r="L134" s="2">
        <v>2960000</v>
      </c>
      <c r="M134">
        <v>20</v>
      </c>
      <c r="N134" s="2">
        <v>2960000</v>
      </c>
      <c r="O134">
        <v>0</v>
      </c>
      <c r="P134" t="s">
        <v>446</v>
      </c>
      <c r="Q134">
        <f t="shared" si="13"/>
        <v>2005</v>
      </c>
      <c r="R134">
        <f t="shared" si="14"/>
        <v>2008</v>
      </c>
      <c r="S134">
        <f t="shared" si="20"/>
        <v>1</v>
      </c>
      <c r="T134">
        <f t="shared" si="20"/>
        <v>1</v>
      </c>
      <c r="U134">
        <f t="shared" si="20"/>
        <v>1</v>
      </c>
      <c r="V134">
        <f t="shared" si="20"/>
        <v>1</v>
      </c>
      <c r="W134">
        <f t="shared" si="20"/>
        <v>0</v>
      </c>
      <c r="X134">
        <f t="shared" si="20"/>
        <v>0</v>
      </c>
      <c r="Y134">
        <f t="shared" si="20"/>
        <v>0</v>
      </c>
      <c r="Z134">
        <f t="shared" si="20"/>
        <v>0</v>
      </c>
      <c r="AA134">
        <f t="shared" si="20"/>
        <v>0</v>
      </c>
      <c r="AB134">
        <f t="shared" si="20"/>
        <v>0</v>
      </c>
      <c r="AC134">
        <f t="shared" si="20"/>
        <v>0</v>
      </c>
      <c r="AD134">
        <f t="shared" si="20"/>
        <v>0</v>
      </c>
      <c r="AE134">
        <f t="shared" si="20"/>
        <v>0</v>
      </c>
      <c r="AF134">
        <f t="shared" si="20"/>
        <v>0</v>
      </c>
      <c r="AG134">
        <f t="shared" si="20"/>
        <v>0</v>
      </c>
      <c r="AH134">
        <f t="shared" si="20"/>
        <v>0</v>
      </c>
      <c r="AI134">
        <f t="shared" si="19"/>
        <v>0</v>
      </c>
      <c r="AJ134">
        <f t="shared" si="19"/>
        <v>0</v>
      </c>
      <c r="AK134">
        <f t="shared" si="19"/>
        <v>0</v>
      </c>
      <c r="AL134">
        <f t="shared" si="19"/>
        <v>0</v>
      </c>
    </row>
    <row r="135" spans="1:38" x14ac:dyDescent="0.25">
      <c r="A135" t="s">
        <v>382</v>
      </c>
      <c r="B135" t="s">
        <v>383</v>
      </c>
      <c r="C135" t="s">
        <v>444</v>
      </c>
      <c r="D135" t="s">
        <v>337</v>
      </c>
      <c r="E135" s="9">
        <v>39874</v>
      </c>
      <c r="F135" s="9">
        <v>40969</v>
      </c>
      <c r="G135" s="2">
        <v>2590000</v>
      </c>
      <c r="H135">
        <v>35</v>
      </c>
      <c r="I135" t="s">
        <v>445</v>
      </c>
      <c r="J135" t="s">
        <v>445</v>
      </c>
      <c r="K135" s="9">
        <v>40969</v>
      </c>
      <c r="L135" s="2">
        <v>2590000</v>
      </c>
      <c r="M135">
        <v>17.5</v>
      </c>
      <c r="N135" s="2">
        <v>740000</v>
      </c>
      <c r="O135">
        <v>0</v>
      </c>
      <c r="P135" t="s">
        <v>446</v>
      </c>
      <c r="Q135">
        <f t="shared" si="13"/>
        <v>2009</v>
      </c>
      <c r="R135">
        <f t="shared" si="14"/>
        <v>2012</v>
      </c>
      <c r="S135">
        <f t="shared" si="20"/>
        <v>0</v>
      </c>
      <c r="T135">
        <f t="shared" si="20"/>
        <v>0</v>
      </c>
      <c r="U135">
        <f t="shared" si="20"/>
        <v>0</v>
      </c>
      <c r="V135">
        <f t="shared" si="20"/>
        <v>0</v>
      </c>
      <c r="W135">
        <f t="shared" si="20"/>
        <v>1</v>
      </c>
      <c r="X135">
        <f t="shared" si="20"/>
        <v>1</v>
      </c>
      <c r="Y135">
        <f t="shared" si="20"/>
        <v>1</v>
      </c>
      <c r="Z135">
        <f t="shared" si="20"/>
        <v>1</v>
      </c>
      <c r="AA135">
        <f t="shared" si="20"/>
        <v>0</v>
      </c>
      <c r="AB135">
        <f t="shared" si="20"/>
        <v>0</v>
      </c>
      <c r="AC135">
        <f t="shared" si="20"/>
        <v>0</v>
      </c>
      <c r="AD135">
        <f t="shared" si="20"/>
        <v>0</v>
      </c>
      <c r="AE135">
        <f t="shared" si="20"/>
        <v>0</v>
      </c>
      <c r="AF135">
        <f t="shared" si="20"/>
        <v>0</v>
      </c>
      <c r="AG135">
        <f t="shared" si="20"/>
        <v>0</v>
      </c>
      <c r="AH135">
        <f t="shared" si="20"/>
        <v>0</v>
      </c>
      <c r="AI135">
        <f t="shared" si="19"/>
        <v>0</v>
      </c>
      <c r="AJ135">
        <f t="shared" si="19"/>
        <v>0</v>
      </c>
      <c r="AK135">
        <f t="shared" si="19"/>
        <v>0</v>
      </c>
      <c r="AL135">
        <f t="shared" si="19"/>
        <v>0</v>
      </c>
    </row>
    <row r="136" spans="1:38" x14ac:dyDescent="0.25">
      <c r="A136" t="s">
        <v>382</v>
      </c>
      <c r="B136" t="s">
        <v>383</v>
      </c>
      <c r="C136" t="s">
        <v>444</v>
      </c>
      <c r="D136" t="s">
        <v>337</v>
      </c>
      <c r="E136" s="9">
        <v>41110</v>
      </c>
      <c r="F136" s="9">
        <v>42204</v>
      </c>
      <c r="G136" s="2">
        <v>2590000</v>
      </c>
      <c r="H136">
        <v>35</v>
      </c>
      <c r="I136" t="s">
        <v>445</v>
      </c>
      <c r="J136" t="s">
        <v>445</v>
      </c>
      <c r="K136" s="9">
        <v>42198</v>
      </c>
      <c r="L136" s="2">
        <v>2590000</v>
      </c>
      <c r="M136">
        <v>17.5</v>
      </c>
      <c r="N136" s="2">
        <v>1110000</v>
      </c>
      <c r="O136">
        <v>0</v>
      </c>
      <c r="P136" t="s">
        <v>446</v>
      </c>
      <c r="Q136">
        <f t="shared" si="13"/>
        <v>2012</v>
      </c>
      <c r="R136">
        <f t="shared" si="14"/>
        <v>2015</v>
      </c>
      <c r="S136">
        <f t="shared" si="20"/>
        <v>0</v>
      </c>
      <c r="T136">
        <f t="shared" si="20"/>
        <v>0</v>
      </c>
      <c r="U136">
        <f t="shared" si="20"/>
        <v>0</v>
      </c>
      <c r="V136">
        <f t="shared" si="20"/>
        <v>0</v>
      </c>
      <c r="W136">
        <f t="shared" si="20"/>
        <v>0</v>
      </c>
      <c r="X136">
        <f t="shared" si="20"/>
        <v>0</v>
      </c>
      <c r="Y136">
        <f t="shared" si="20"/>
        <v>0</v>
      </c>
      <c r="Z136">
        <f t="shared" si="20"/>
        <v>1</v>
      </c>
      <c r="AA136">
        <f t="shared" si="20"/>
        <v>1</v>
      </c>
      <c r="AB136">
        <f t="shared" si="20"/>
        <v>1</v>
      </c>
      <c r="AC136">
        <f t="shared" si="20"/>
        <v>1</v>
      </c>
      <c r="AD136">
        <f t="shared" si="20"/>
        <v>0</v>
      </c>
      <c r="AE136">
        <f t="shared" si="20"/>
        <v>0</v>
      </c>
      <c r="AF136">
        <f t="shared" si="20"/>
        <v>0</v>
      </c>
      <c r="AG136">
        <f t="shared" si="20"/>
        <v>0</v>
      </c>
      <c r="AH136">
        <f t="shared" ref="AH136:AL151" si="21">IF(AND(AH$10 &gt;= $Q136, AH$10 &lt;= $R136), 1, 0)</f>
        <v>0</v>
      </c>
      <c r="AI136">
        <f t="shared" si="21"/>
        <v>0</v>
      </c>
      <c r="AJ136">
        <f t="shared" si="21"/>
        <v>0</v>
      </c>
      <c r="AK136">
        <f t="shared" si="21"/>
        <v>0</v>
      </c>
      <c r="AL136">
        <f t="shared" si="21"/>
        <v>0</v>
      </c>
    </row>
    <row r="137" spans="1:38" x14ac:dyDescent="0.25">
      <c r="A137" t="s">
        <v>382</v>
      </c>
      <c r="B137" t="s">
        <v>383</v>
      </c>
      <c r="C137" t="s">
        <v>444</v>
      </c>
      <c r="D137" t="s">
        <v>337</v>
      </c>
      <c r="E137" s="9">
        <v>42198</v>
      </c>
      <c r="F137" s="9">
        <v>43293</v>
      </c>
      <c r="G137" s="2">
        <v>4440000</v>
      </c>
      <c r="H137">
        <v>60</v>
      </c>
      <c r="I137" t="s">
        <v>445</v>
      </c>
      <c r="J137" t="s">
        <v>445</v>
      </c>
      <c r="K137" s="9">
        <v>43465</v>
      </c>
      <c r="L137" s="2">
        <v>4440000</v>
      </c>
      <c r="M137">
        <v>30</v>
      </c>
      <c r="N137" s="2">
        <v>3805710</v>
      </c>
      <c r="O137" s="2">
        <v>1839438</v>
      </c>
      <c r="P137" t="s">
        <v>446</v>
      </c>
      <c r="Q137">
        <f t="shared" si="13"/>
        <v>2015</v>
      </c>
      <c r="R137">
        <f t="shared" si="14"/>
        <v>2018</v>
      </c>
      <c r="S137">
        <f t="shared" ref="S137:AH152" si="22">IF(AND(S$10 &gt;= $Q137, S$10 &lt;= $R137), 1, 0)</f>
        <v>0</v>
      </c>
      <c r="T137">
        <f t="shared" si="22"/>
        <v>0</v>
      </c>
      <c r="U137">
        <f t="shared" si="22"/>
        <v>0</v>
      </c>
      <c r="V137">
        <f t="shared" si="22"/>
        <v>0</v>
      </c>
      <c r="W137">
        <f t="shared" si="22"/>
        <v>0</v>
      </c>
      <c r="X137">
        <f t="shared" si="22"/>
        <v>0</v>
      </c>
      <c r="Y137">
        <f t="shared" si="22"/>
        <v>0</v>
      </c>
      <c r="Z137">
        <f t="shared" si="22"/>
        <v>0</v>
      </c>
      <c r="AA137">
        <f t="shared" si="22"/>
        <v>0</v>
      </c>
      <c r="AB137">
        <f t="shared" si="22"/>
        <v>0</v>
      </c>
      <c r="AC137">
        <f t="shared" si="22"/>
        <v>1</v>
      </c>
      <c r="AD137">
        <f t="shared" si="22"/>
        <v>1</v>
      </c>
      <c r="AE137">
        <f t="shared" si="22"/>
        <v>1</v>
      </c>
      <c r="AF137">
        <f t="shared" si="22"/>
        <v>1</v>
      </c>
      <c r="AG137">
        <f t="shared" si="22"/>
        <v>0</v>
      </c>
      <c r="AH137">
        <f t="shared" si="22"/>
        <v>0</v>
      </c>
      <c r="AI137">
        <f t="shared" si="21"/>
        <v>0</v>
      </c>
      <c r="AJ137">
        <f t="shared" si="21"/>
        <v>0</v>
      </c>
      <c r="AK137">
        <f t="shared" si="21"/>
        <v>0</v>
      </c>
      <c r="AL137">
        <f t="shared" si="21"/>
        <v>0</v>
      </c>
    </row>
    <row r="138" spans="1:38" x14ac:dyDescent="0.25">
      <c r="A138" t="s">
        <v>382</v>
      </c>
      <c r="B138" t="s">
        <v>383</v>
      </c>
      <c r="C138" t="s">
        <v>444</v>
      </c>
      <c r="D138" t="s">
        <v>337</v>
      </c>
      <c r="E138" s="9">
        <v>43740</v>
      </c>
      <c r="F138" s="9">
        <v>44958</v>
      </c>
      <c r="G138" s="2">
        <v>13320000</v>
      </c>
      <c r="H138">
        <v>90</v>
      </c>
      <c r="I138" t="s">
        <v>445</v>
      </c>
      <c r="J138" t="s">
        <v>445</v>
      </c>
      <c r="K138" s="9">
        <v>44958</v>
      </c>
      <c r="L138" s="2">
        <v>14800000</v>
      </c>
      <c r="M138">
        <v>100</v>
      </c>
      <c r="N138" s="2">
        <v>12897143</v>
      </c>
      <c r="O138" s="2">
        <v>12897143</v>
      </c>
      <c r="P138" t="s">
        <v>446</v>
      </c>
      <c r="Q138">
        <f t="shared" si="13"/>
        <v>2019</v>
      </c>
      <c r="R138">
        <f t="shared" si="14"/>
        <v>2023</v>
      </c>
      <c r="S138">
        <f t="shared" si="22"/>
        <v>0</v>
      </c>
      <c r="T138">
        <f t="shared" si="22"/>
        <v>0</v>
      </c>
      <c r="U138">
        <f t="shared" si="22"/>
        <v>0</v>
      </c>
      <c r="V138">
        <f t="shared" si="22"/>
        <v>0</v>
      </c>
      <c r="W138">
        <f t="shared" si="22"/>
        <v>0</v>
      </c>
      <c r="X138">
        <f t="shared" si="22"/>
        <v>0</v>
      </c>
      <c r="Y138">
        <f t="shared" si="22"/>
        <v>0</v>
      </c>
      <c r="Z138">
        <f t="shared" si="22"/>
        <v>0</v>
      </c>
      <c r="AA138">
        <f t="shared" si="22"/>
        <v>0</v>
      </c>
      <c r="AB138">
        <f t="shared" si="22"/>
        <v>0</v>
      </c>
      <c r="AC138">
        <f t="shared" si="22"/>
        <v>0</v>
      </c>
      <c r="AD138">
        <f t="shared" si="22"/>
        <v>0</v>
      </c>
      <c r="AE138">
        <f t="shared" si="22"/>
        <v>0</v>
      </c>
      <c r="AF138">
        <f t="shared" si="22"/>
        <v>0</v>
      </c>
      <c r="AG138">
        <f t="shared" si="22"/>
        <v>1</v>
      </c>
      <c r="AH138">
        <f t="shared" si="22"/>
        <v>1</v>
      </c>
      <c r="AI138">
        <f t="shared" si="21"/>
        <v>1</v>
      </c>
      <c r="AJ138">
        <f t="shared" si="21"/>
        <v>1</v>
      </c>
      <c r="AK138">
        <f t="shared" si="21"/>
        <v>1</v>
      </c>
      <c r="AL138">
        <f t="shared" si="21"/>
        <v>0</v>
      </c>
    </row>
    <row r="139" spans="1:38" x14ac:dyDescent="0.25">
      <c r="A139" t="s">
        <v>382</v>
      </c>
      <c r="B139" t="s">
        <v>383</v>
      </c>
      <c r="C139" t="s">
        <v>444</v>
      </c>
      <c r="D139" t="s">
        <v>337</v>
      </c>
      <c r="E139" s="9">
        <v>45645</v>
      </c>
      <c r="F139" s="9">
        <v>46861</v>
      </c>
      <c r="G139" s="2">
        <v>18500000</v>
      </c>
      <c r="H139">
        <v>125</v>
      </c>
      <c r="I139" t="s">
        <v>445</v>
      </c>
      <c r="J139" t="s">
        <v>445</v>
      </c>
      <c r="K139" s="9">
        <v>46861</v>
      </c>
      <c r="L139" s="2">
        <v>18500000</v>
      </c>
      <c r="M139">
        <v>125</v>
      </c>
      <c r="N139" s="2">
        <v>3964286</v>
      </c>
      <c r="O139" s="2">
        <v>3964286</v>
      </c>
      <c r="P139" t="s">
        <v>451</v>
      </c>
      <c r="Q139">
        <f t="shared" si="13"/>
        <v>2024</v>
      </c>
      <c r="R139">
        <f t="shared" si="14"/>
        <v>2024</v>
      </c>
      <c r="S139">
        <f t="shared" si="22"/>
        <v>0</v>
      </c>
      <c r="T139">
        <f t="shared" si="22"/>
        <v>0</v>
      </c>
      <c r="U139">
        <f t="shared" si="22"/>
        <v>0</v>
      </c>
      <c r="V139">
        <f t="shared" si="22"/>
        <v>0</v>
      </c>
      <c r="W139">
        <f t="shared" si="22"/>
        <v>0</v>
      </c>
      <c r="X139">
        <f t="shared" si="22"/>
        <v>0</v>
      </c>
      <c r="Y139">
        <f t="shared" si="22"/>
        <v>0</v>
      </c>
      <c r="Z139">
        <f t="shared" si="22"/>
        <v>0</v>
      </c>
      <c r="AA139">
        <f t="shared" si="22"/>
        <v>0</v>
      </c>
      <c r="AB139">
        <f t="shared" si="22"/>
        <v>0</v>
      </c>
      <c r="AC139">
        <f t="shared" si="22"/>
        <v>0</v>
      </c>
      <c r="AD139">
        <f t="shared" si="22"/>
        <v>0</v>
      </c>
      <c r="AE139">
        <f t="shared" si="22"/>
        <v>0</v>
      </c>
      <c r="AF139">
        <f t="shared" si="22"/>
        <v>0</v>
      </c>
      <c r="AG139">
        <f t="shared" si="22"/>
        <v>0</v>
      </c>
      <c r="AH139">
        <f t="shared" si="22"/>
        <v>0</v>
      </c>
      <c r="AI139">
        <f t="shared" si="21"/>
        <v>0</v>
      </c>
      <c r="AJ139">
        <f t="shared" si="21"/>
        <v>0</v>
      </c>
      <c r="AK139">
        <f t="shared" si="21"/>
        <v>0</v>
      </c>
      <c r="AL139">
        <f t="shared" si="21"/>
        <v>1</v>
      </c>
    </row>
    <row r="140" spans="1:38" x14ac:dyDescent="0.25">
      <c r="A140" t="s">
        <v>188</v>
      </c>
      <c r="B140" t="s">
        <v>384</v>
      </c>
      <c r="C140" t="s">
        <v>444</v>
      </c>
      <c r="D140" t="s">
        <v>453</v>
      </c>
      <c r="E140" s="9">
        <v>39801</v>
      </c>
      <c r="F140" s="9">
        <v>40165</v>
      </c>
      <c r="G140" s="2">
        <v>48540000</v>
      </c>
      <c r="H140">
        <v>30</v>
      </c>
      <c r="I140" t="s">
        <v>445</v>
      </c>
      <c r="J140" t="s">
        <v>445</v>
      </c>
      <c r="K140" s="9">
        <v>40339</v>
      </c>
      <c r="L140" s="2">
        <v>121350000</v>
      </c>
      <c r="M140">
        <v>37.5</v>
      </c>
      <c r="N140" s="2">
        <v>121350000</v>
      </c>
      <c r="O140">
        <v>0</v>
      </c>
      <c r="P140" t="s">
        <v>446</v>
      </c>
      <c r="Q140">
        <f t="shared" ref="Q140:Q166" si="23">YEAR(E140)</f>
        <v>2008</v>
      </c>
      <c r="R140">
        <f t="shared" ref="R140:R166" si="24">MIN(YEAR(F140), 2024)</f>
        <v>2009</v>
      </c>
      <c r="S140">
        <f t="shared" si="22"/>
        <v>0</v>
      </c>
      <c r="T140">
        <f t="shared" si="22"/>
        <v>0</v>
      </c>
      <c r="U140">
        <f t="shared" si="22"/>
        <v>0</v>
      </c>
      <c r="V140">
        <f t="shared" si="22"/>
        <v>1</v>
      </c>
      <c r="W140">
        <f t="shared" si="22"/>
        <v>1</v>
      </c>
      <c r="X140">
        <f t="shared" si="22"/>
        <v>0</v>
      </c>
      <c r="Y140">
        <f t="shared" si="22"/>
        <v>0</v>
      </c>
      <c r="Z140">
        <f t="shared" si="22"/>
        <v>0</v>
      </c>
      <c r="AA140">
        <f t="shared" si="22"/>
        <v>0</v>
      </c>
      <c r="AB140">
        <f t="shared" si="22"/>
        <v>0</v>
      </c>
      <c r="AC140">
        <f t="shared" si="22"/>
        <v>0</v>
      </c>
      <c r="AD140">
        <f t="shared" si="22"/>
        <v>0</v>
      </c>
      <c r="AE140">
        <f t="shared" si="22"/>
        <v>0</v>
      </c>
      <c r="AF140">
        <f t="shared" si="22"/>
        <v>0</v>
      </c>
      <c r="AG140">
        <f t="shared" si="22"/>
        <v>0</v>
      </c>
      <c r="AH140">
        <f t="shared" si="22"/>
        <v>0</v>
      </c>
      <c r="AI140">
        <f t="shared" si="21"/>
        <v>0</v>
      </c>
      <c r="AJ140">
        <f t="shared" si="21"/>
        <v>0</v>
      </c>
      <c r="AK140">
        <f t="shared" si="21"/>
        <v>0</v>
      </c>
      <c r="AL140">
        <f t="shared" si="21"/>
        <v>0</v>
      </c>
    </row>
    <row r="141" spans="1:38" x14ac:dyDescent="0.25">
      <c r="A141" t="s">
        <v>188</v>
      </c>
      <c r="B141" t="s">
        <v>384</v>
      </c>
      <c r="C141" t="s">
        <v>444</v>
      </c>
      <c r="D141" t="s">
        <v>364</v>
      </c>
      <c r="E141" s="9">
        <v>44354</v>
      </c>
      <c r="F141" s="9">
        <v>44901</v>
      </c>
      <c r="G141" s="2">
        <v>151000000</v>
      </c>
      <c r="H141">
        <v>46.7</v>
      </c>
      <c r="I141" t="s">
        <v>445</v>
      </c>
      <c r="J141" t="s">
        <v>445</v>
      </c>
      <c r="K141" s="9">
        <v>44935</v>
      </c>
      <c r="L141" s="2">
        <v>194150000</v>
      </c>
      <c r="M141">
        <v>60</v>
      </c>
      <c r="N141" s="2">
        <v>194150000</v>
      </c>
      <c r="O141" s="2">
        <v>194150000</v>
      </c>
      <c r="P141" t="s">
        <v>446</v>
      </c>
      <c r="Q141">
        <f t="shared" si="23"/>
        <v>2021</v>
      </c>
      <c r="R141">
        <f t="shared" si="24"/>
        <v>2022</v>
      </c>
      <c r="S141">
        <f t="shared" si="22"/>
        <v>0</v>
      </c>
      <c r="T141">
        <f t="shared" si="22"/>
        <v>0</v>
      </c>
      <c r="U141">
        <f t="shared" si="22"/>
        <v>0</v>
      </c>
      <c r="V141">
        <f t="shared" si="22"/>
        <v>0</v>
      </c>
      <c r="W141">
        <f t="shared" si="22"/>
        <v>0</v>
      </c>
      <c r="X141">
        <f t="shared" si="22"/>
        <v>0</v>
      </c>
      <c r="Y141">
        <f t="shared" si="22"/>
        <v>0</v>
      </c>
      <c r="Z141">
        <f t="shared" si="22"/>
        <v>0</v>
      </c>
      <c r="AA141">
        <f t="shared" si="22"/>
        <v>0</v>
      </c>
      <c r="AB141">
        <f t="shared" si="22"/>
        <v>0</v>
      </c>
      <c r="AC141">
        <f t="shared" si="22"/>
        <v>0</v>
      </c>
      <c r="AD141">
        <f t="shared" si="22"/>
        <v>0</v>
      </c>
      <c r="AE141">
        <f t="shared" si="22"/>
        <v>0</v>
      </c>
      <c r="AF141">
        <f t="shared" si="22"/>
        <v>0</v>
      </c>
      <c r="AG141">
        <f t="shared" si="22"/>
        <v>0</v>
      </c>
      <c r="AH141">
        <f t="shared" si="22"/>
        <v>0</v>
      </c>
      <c r="AI141">
        <f t="shared" si="21"/>
        <v>1</v>
      </c>
      <c r="AJ141">
        <f t="shared" si="21"/>
        <v>1</v>
      </c>
      <c r="AK141">
        <f t="shared" si="21"/>
        <v>0</v>
      </c>
      <c r="AL141">
        <f t="shared" si="21"/>
        <v>0</v>
      </c>
    </row>
    <row r="142" spans="1:38" x14ac:dyDescent="0.25">
      <c r="A142" t="s">
        <v>188</v>
      </c>
      <c r="B142" t="s">
        <v>384</v>
      </c>
      <c r="C142" t="s">
        <v>444</v>
      </c>
      <c r="D142" t="s">
        <v>337</v>
      </c>
      <c r="E142" s="9">
        <v>45103</v>
      </c>
      <c r="F142" s="9">
        <v>46198</v>
      </c>
      <c r="G142" s="2">
        <v>377530000</v>
      </c>
      <c r="H142">
        <v>116.7</v>
      </c>
      <c r="I142" t="s">
        <v>445</v>
      </c>
      <c r="J142" t="s">
        <v>445</v>
      </c>
      <c r="K142" s="9">
        <v>46198</v>
      </c>
      <c r="L142" s="2">
        <v>377530000</v>
      </c>
      <c r="M142">
        <v>116.7</v>
      </c>
      <c r="N142" s="2">
        <v>107860000</v>
      </c>
      <c r="O142" s="2">
        <v>107860000</v>
      </c>
      <c r="P142" t="s">
        <v>451</v>
      </c>
      <c r="Q142">
        <f t="shared" si="23"/>
        <v>2023</v>
      </c>
      <c r="R142">
        <f t="shared" si="24"/>
        <v>2024</v>
      </c>
      <c r="S142">
        <f t="shared" si="22"/>
        <v>0</v>
      </c>
      <c r="T142">
        <f t="shared" si="22"/>
        <v>0</v>
      </c>
      <c r="U142">
        <f t="shared" si="22"/>
        <v>0</v>
      </c>
      <c r="V142">
        <f t="shared" si="22"/>
        <v>0</v>
      </c>
      <c r="W142">
        <f t="shared" si="22"/>
        <v>0</v>
      </c>
      <c r="X142">
        <f t="shared" si="22"/>
        <v>0</v>
      </c>
      <c r="Y142">
        <f t="shared" si="22"/>
        <v>0</v>
      </c>
      <c r="Z142">
        <f t="shared" si="22"/>
        <v>0</v>
      </c>
      <c r="AA142">
        <f t="shared" si="22"/>
        <v>0</v>
      </c>
      <c r="AB142">
        <f t="shared" si="22"/>
        <v>0</v>
      </c>
      <c r="AC142">
        <f t="shared" si="22"/>
        <v>0</v>
      </c>
      <c r="AD142">
        <f t="shared" si="22"/>
        <v>0</v>
      </c>
      <c r="AE142">
        <f t="shared" si="22"/>
        <v>0</v>
      </c>
      <c r="AF142">
        <f t="shared" si="22"/>
        <v>0</v>
      </c>
      <c r="AG142">
        <f t="shared" si="22"/>
        <v>0</v>
      </c>
      <c r="AH142">
        <f t="shared" si="22"/>
        <v>0</v>
      </c>
      <c r="AI142">
        <f t="shared" si="21"/>
        <v>0</v>
      </c>
      <c r="AJ142">
        <f t="shared" si="21"/>
        <v>0</v>
      </c>
      <c r="AK142">
        <f t="shared" si="21"/>
        <v>1</v>
      </c>
      <c r="AL142">
        <f t="shared" si="21"/>
        <v>1</v>
      </c>
    </row>
    <row r="143" spans="1:38" x14ac:dyDescent="0.25">
      <c r="A143" t="s">
        <v>189</v>
      </c>
      <c r="B143" t="s">
        <v>385</v>
      </c>
      <c r="C143" t="s">
        <v>444</v>
      </c>
      <c r="D143" t="s">
        <v>337</v>
      </c>
      <c r="E143" s="9">
        <v>38847</v>
      </c>
      <c r="F143" s="9">
        <v>39942</v>
      </c>
      <c r="G143" s="2">
        <v>31110000</v>
      </c>
      <c r="H143">
        <v>30</v>
      </c>
      <c r="I143" t="s">
        <v>445</v>
      </c>
      <c r="J143" t="s">
        <v>445</v>
      </c>
      <c r="K143" s="9">
        <v>40351</v>
      </c>
      <c r="L143" s="2">
        <v>51880000</v>
      </c>
      <c r="M143">
        <v>25</v>
      </c>
      <c r="N143" s="2">
        <v>51880000</v>
      </c>
      <c r="O143">
        <v>0</v>
      </c>
      <c r="P143" t="s">
        <v>446</v>
      </c>
      <c r="Q143">
        <f t="shared" si="23"/>
        <v>2006</v>
      </c>
      <c r="R143">
        <f t="shared" si="24"/>
        <v>2009</v>
      </c>
      <c r="S143">
        <f t="shared" si="22"/>
        <v>0</v>
      </c>
      <c r="T143">
        <f t="shared" si="22"/>
        <v>1</v>
      </c>
      <c r="U143">
        <f t="shared" si="22"/>
        <v>1</v>
      </c>
      <c r="V143">
        <f t="shared" si="22"/>
        <v>1</v>
      </c>
      <c r="W143">
        <f t="shared" si="22"/>
        <v>1</v>
      </c>
      <c r="X143">
        <f t="shared" si="22"/>
        <v>0</v>
      </c>
      <c r="Y143">
        <f t="shared" si="22"/>
        <v>0</v>
      </c>
      <c r="Z143">
        <f t="shared" si="22"/>
        <v>0</v>
      </c>
      <c r="AA143">
        <f t="shared" si="22"/>
        <v>0</v>
      </c>
      <c r="AB143">
        <f t="shared" si="22"/>
        <v>0</v>
      </c>
      <c r="AC143">
        <f t="shared" si="22"/>
        <v>0</v>
      </c>
      <c r="AD143">
        <f t="shared" si="22"/>
        <v>0</v>
      </c>
      <c r="AE143">
        <f t="shared" si="22"/>
        <v>0</v>
      </c>
      <c r="AF143">
        <f t="shared" si="22"/>
        <v>0</v>
      </c>
      <c r="AG143">
        <f t="shared" si="22"/>
        <v>0</v>
      </c>
      <c r="AH143">
        <f t="shared" si="22"/>
        <v>0</v>
      </c>
      <c r="AI143">
        <f t="shared" si="21"/>
        <v>0</v>
      </c>
      <c r="AJ143">
        <f t="shared" si="21"/>
        <v>0</v>
      </c>
      <c r="AK143">
        <f t="shared" si="21"/>
        <v>0</v>
      </c>
      <c r="AL143">
        <f t="shared" si="21"/>
        <v>0</v>
      </c>
    </row>
    <row r="144" spans="1:38" x14ac:dyDescent="0.25">
      <c r="A144" t="s">
        <v>189</v>
      </c>
      <c r="B144" t="s">
        <v>385</v>
      </c>
      <c r="C144" t="s">
        <v>444</v>
      </c>
      <c r="D144" t="s">
        <v>337</v>
      </c>
      <c r="E144" s="9">
        <v>40360</v>
      </c>
      <c r="F144" s="9">
        <v>41455</v>
      </c>
      <c r="G144" s="2">
        <v>31110000</v>
      </c>
      <c r="H144">
        <v>30</v>
      </c>
      <c r="I144" t="s">
        <v>445</v>
      </c>
      <c r="J144" t="s">
        <v>445</v>
      </c>
      <c r="K144" s="9">
        <v>41455</v>
      </c>
      <c r="L144" s="2">
        <v>31110000</v>
      </c>
      <c r="M144">
        <v>15</v>
      </c>
      <c r="N144" s="2">
        <v>22200000</v>
      </c>
      <c r="O144">
        <v>0</v>
      </c>
      <c r="P144" t="s">
        <v>446</v>
      </c>
      <c r="Q144">
        <f t="shared" si="23"/>
        <v>2010</v>
      </c>
      <c r="R144">
        <f t="shared" si="24"/>
        <v>2013</v>
      </c>
      <c r="S144">
        <f t="shared" si="22"/>
        <v>0</v>
      </c>
      <c r="T144">
        <f t="shared" si="22"/>
        <v>0</v>
      </c>
      <c r="U144">
        <f t="shared" si="22"/>
        <v>0</v>
      </c>
      <c r="V144">
        <f t="shared" si="22"/>
        <v>0</v>
      </c>
      <c r="W144">
        <f t="shared" si="22"/>
        <v>0</v>
      </c>
      <c r="X144">
        <f t="shared" si="22"/>
        <v>1</v>
      </c>
      <c r="Y144">
        <f t="shared" si="22"/>
        <v>1</v>
      </c>
      <c r="Z144">
        <f t="shared" si="22"/>
        <v>1</v>
      </c>
      <c r="AA144">
        <f t="shared" si="22"/>
        <v>1</v>
      </c>
      <c r="AB144">
        <f t="shared" si="22"/>
        <v>0</v>
      </c>
      <c r="AC144">
        <f t="shared" si="22"/>
        <v>0</v>
      </c>
      <c r="AD144">
        <f t="shared" si="22"/>
        <v>0</v>
      </c>
      <c r="AE144">
        <f t="shared" si="22"/>
        <v>0</v>
      </c>
      <c r="AF144">
        <f t="shared" si="22"/>
        <v>0</v>
      </c>
      <c r="AG144">
        <f t="shared" si="22"/>
        <v>0</v>
      </c>
      <c r="AH144">
        <f t="shared" si="22"/>
        <v>0</v>
      </c>
      <c r="AI144">
        <f t="shared" si="21"/>
        <v>0</v>
      </c>
      <c r="AJ144">
        <f t="shared" si="21"/>
        <v>0</v>
      </c>
      <c r="AK144">
        <f t="shared" si="21"/>
        <v>0</v>
      </c>
      <c r="AL144">
        <f t="shared" si="21"/>
        <v>0</v>
      </c>
    </row>
    <row r="145" spans="1:38" x14ac:dyDescent="0.25">
      <c r="A145" t="s">
        <v>189</v>
      </c>
      <c r="B145" t="s">
        <v>385</v>
      </c>
      <c r="C145" t="s">
        <v>444</v>
      </c>
      <c r="D145" t="s">
        <v>337</v>
      </c>
      <c r="E145" s="9">
        <v>41568</v>
      </c>
      <c r="F145" s="9">
        <v>42663</v>
      </c>
      <c r="G145" s="2">
        <v>62220000</v>
      </c>
      <c r="H145">
        <v>60</v>
      </c>
      <c r="I145" t="s">
        <v>445</v>
      </c>
      <c r="J145" t="s">
        <v>445</v>
      </c>
      <c r="K145" s="9">
        <v>42718</v>
      </c>
      <c r="L145" s="2">
        <v>186660000</v>
      </c>
      <c r="M145">
        <v>90</v>
      </c>
      <c r="N145" s="2">
        <v>186660000</v>
      </c>
      <c r="O145" s="2">
        <v>32293000</v>
      </c>
      <c r="P145" t="s">
        <v>446</v>
      </c>
      <c r="Q145">
        <f t="shared" si="23"/>
        <v>2013</v>
      </c>
      <c r="R145">
        <f t="shared" si="24"/>
        <v>2016</v>
      </c>
      <c r="S145">
        <f t="shared" si="22"/>
        <v>0</v>
      </c>
      <c r="T145">
        <f t="shared" si="22"/>
        <v>0</v>
      </c>
      <c r="U145">
        <f t="shared" si="22"/>
        <v>0</v>
      </c>
      <c r="V145">
        <f t="shared" si="22"/>
        <v>0</v>
      </c>
      <c r="W145">
        <f t="shared" si="22"/>
        <v>0</v>
      </c>
      <c r="X145">
        <f t="shared" si="22"/>
        <v>0</v>
      </c>
      <c r="Y145">
        <f t="shared" si="22"/>
        <v>0</v>
      </c>
      <c r="Z145">
        <f t="shared" si="22"/>
        <v>0</v>
      </c>
      <c r="AA145">
        <f t="shared" si="22"/>
        <v>1</v>
      </c>
      <c r="AB145">
        <f t="shared" si="22"/>
        <v>1</v>
      </c>
      <c r="AC145">
        <f t="shared" si="22"/>
        <v>1</v>
      </c>
      <c r="AD145">
        <f t="shared" si="22"/>
        <v>1</v>
      </c>
      <c r="AE145">
        <f t="shared" si="22"/>
        <v>0</v>
      </c>
      <c r="AF145">
        <f t="shared" si="22"/>
        <v>0</v>
      </c>
      <c r="AG145">
        <f t="shared" si="22"/>
        <v>0</v>
      </c>
      <c r="AH145">
        <f t="shared" si="22"/>
        <v>0</v>
      </c>
      <c r="AI145">
        <f t="shared" si="21"/>
        <v>0</v>
      </c>
      <c r="AJ145">
        <f t="shared" si="21"/>
        <v>0</v>
      </c>
      <c r="AK145">
        <f t="shared" si="21"/>
        <v>0</v>
      </c>
      <c r="AL145">
        <f t="shared" si="21"/>
        <v>0</v>
      </c>
    </row>
    <row r="146" spans="1:38" x14ac:dyDescent="0.25">
      <c r="A146" t="s">
        <v>189</v>
      </c>
      <c r="B146" t="s">
        <v>385</v>
      </c>
      <c r="C146" t="s">
        <v>444</v>
      </c>
      <c r="D146" t="s">
        <v>337</v>
      </c>
      <c r="E146" s="9">
        <v>42891</v>
      </c>
      <c r="F146" s="9">
        <v>43986</v>
      </c>
      <c r="G146" s="2">
        <v>161772000</v>
      </c>
      <c r="H146">
        <v>78</v>
      </c>
      <c r="I146" t="s">
        <v>445</v>
      </c>
      <c r="J146" t="s">
        <v>445</v>
      </c>
      <c r="K146" s="9">
        <v>43433</v>
      </c>
      <c r="L146" s="2">
        <v>161772000</v>
      </c>
      <c r="M146">
        <v>78</v>
      </c>
      <c r="N146" s="2">
        <v>39166000</v>
      </c>
      <c r="O146" s="2">
        <v>19583000</v>
      </c>
      <c r="P146" t="s">
        <v>446</v>
      </c>
      <c r="Q146">
        <f t="shared" si="23"/>
        <v>2017</v>
      </c>
      <c r="R146">
        <f t="shared" si="24"/>
        <v>2020</v>
      </c>
      <c r="S146">
        <f t="shared" si="22"/>
        <v>0</v>
      </c>
      <c r="T146">
        <f t="shared" si="22"/>
        <v>0</v>
      </c>
      <c r="U146">
        <f t="shared" si="22"/>
        <v>0</v>
      </c>
      <c r="V146">
        <f t="shared" si="22"/>
        <v>0</v>
      </c>
      <c r="W146">
        <f t="shared" si="22"/>
        <v>0</v>
      </c>
      <c r="X146">
        <f t="shared" si="22"/>
        <v>0</v>
      </c>
      <c r="Y146">
        <f t="shared" si="22"/>
        <v>0</v>
      </c>
      <c r="Z146">
        <f t="shared" si="22"/>
        <v>0</v>
      </c>
      <c r="AA146">
        <f t="shared" si="22"/>
        <v>0</v>
      </c>
      <c r="AB146">
        <f t="shared" si="22"/>
        <v>0</v>
      </c>
      <c r="AC146">
        <f t="shared" si="22"/>
        <v>0</v>
      </c>
      <c r="AD146">
        <f t="shared" si="22"/>
        <v>0</v>
      </c>
      <c r="AE146">
        <f t="shared" si="22"/>
        <v>1</v>
      </c>
      <c r="AF146">
        <f t="shared" si="22"/>
        <v>1</v>
      </c>
      <c r="AG146">
        <f t="shared" si="22"/>
        <v>1</v>
      </c>
      <c r="AH146">
        <f t="shared" si="22"/>
        <v>1</v>
      </c>
      <c r="AI146">
        <f t="shared" si="21"/>
        <v>0</v>
      </c>
      <c r="AJ146">
        <f t="shared" si="21"/>
        <v>0</v>
      </c>
      <c r="AK146">
        <f t="shared" si="21"/>
        <v>0</v>
      </c>
      <c r="AL146">
        <f t="shared" si="21"/>
        <v>0</v>
      </c>
    </row>
    <row r="147" spans="1:38" x14ac:dyDescent="0.25">
      <c r="A147" t="s">
        <v>189</v>
      </c>
      <c r="B147" t="s">
        <v>385</v>
      </c>
      <c r="C147" t="s">
        <v>444</v>
      </c>
      <c r="D147" t="s">
        <v>337</v>
      </c>
      <c r="E147" s="9">
        <v>43434</v>
      </c>
      <c r="F147" s="9">
        <v>44741</v>
      </c>
      <c r="G147" s="2">
        <v>124440000</v>
      </c>
      <c r="H147">
        <v>60</v>
      </c>
      <c r="I147" t="s">
        <v>445</v>
      </c>
      <c r="J147" t="s">
        <v>445</v>
      </c>
      <c r="K147" s="9">
        <v>45252</v>
      </c>
      <c r="L147" s="2">
        <v>124440000</v>
      </c>
      <c r="M147">
        <v>60</v>
      </c>
      <c r="N147" s="2">
        <v>124440000</v>
      </c>
      <c r="O147" s="2">
        <v>121329000</v>
      </c>
      <c r="P147" t="s">
        <v>446</v>
      </c>
      <c r="Q147">
        <f t="shared" si="23"/>
        <v>2018</v>
      </c>
      <c r="R147">
        <f t="shared" si="24"/>
        <v>2022</v>
      </c>
      <c r="S147">
        <f t="shared" si="22"/>
        <v>0</v>
      </c>
      <c r="T147">
        <f t="shared" si="22"/>
        <v>0</v>
      </c>
      <c r="U147">
        <f t="shared" si="22"/>
        <v>0</v>
      </c>
      <c r="V147">
        <f t="shared" si="22"/>
        <v>0</v>
      </c>
      <c r="W147">
        <f t="shared" si="22"/>
        <v>0</v>
      </c>
      <c r="X147">
        <f t="shared" si="22"/>
        <v>0</v>
      </c>
      <c r="Y147">
        <f t="shared" si="22"/>
        <v>0</v>
      </c>
      <c r="Z147">
        <f t="shared" si="22"/>
        <v>0</v>
      </c>
      <c r="AA147">
        <f t="shared" si="22"/>
        <v>0</v>
      </c>
      <c r="AB147">
        <f t="shared" si="22"/>
        <v>0</v>
      </c>
      <c r="AC147">
        <f t="shared" si="22"/>
        <v>0</v>
      </c>
      <c r="AD147">
        <f t="shared" si="22"/>
        <v>0</v>
      </c>
      <c r="AE147">
        <f t="shared" si="22"/>
        <v>0</v>
      </c>
      <c r="AF147">
        <f t="shared" si="22"/>
        <v>1</v>
      </c>
      <c r="AG147">
        <f t="shared" si="22"/>
        <v>1</v>
      </c>
      <c r="AH147">
        <f t="shared" si="22"/>
        <v>1</v>
      </c>
      <c r="AI147">
        <f t="shared" si="21"/>
        <v>1</v>
      </c>
      <c r="AJ147">
        <f t="shared" si="21"/>
        <v>1</v>
      </c>
      <c r="AK147">
        <f t="shared" si="21"/>
        <v>0</v>
      </c>
      <c r="AL147">
        <f t="shared" si="21"/>
        <v>0</v>
      </c>
    </row>
    <row r="148" spans="1:38" x14ac:dyDescent="0.25">
      <c r="A148" t="s">
        <v>189</v>
      </c>
      <c r="B148" t="s">
        <v>385</v>
      </c>
      <c r="C148" t="s">
        <v>444</v>
      </c>
      <c r="D148" t="s">
        <v>337</v>
      </c>
      <c r="E148" s="9">
        <v>45596</v>
      </c>
      <c r="F148" s="9">
        <v>46751</v>
      </c>
      <c r="G148" s="2">
        <v>186663000</v>
      </c>
      <c r="H148">
        <v>90</v>
      </c>
      <c r="I148" t="s">
        <v>445</v>
      </c>
      <c r="J148" t="s">
        <v>445</v>
      </c>
      <c r="K148" s="9">
        <v>46751</v>
      </c>
      <c r="L148" s="2">
        <v>186663000</v>
      </c>
      <c r="M148">
        <v>90</v>
      </c>
      <c r="N148" s="2">
        <v>34999000</v>
      </c>
      <c r="O148" s="2">
        <v>34999000</v>
      </c>
      <c r="P148" t="s">
        <v>451</v>
      </c>
      <c r="Q148">
        <f t="shared" si="23"/>
        <v>2024</v>
      </c>
      <c r="R148">
        <f t="shared" si="24"/>
        <v>2024</v>
      </c>
      <c r="S148">
        <f t="shared" si="22"/>
        <v>0</v>
      </c>
      <c r="T148">
        <f t="shared" si="22"/>
        <v>0</v>
      </c>
      <c r="U148">
        <f t="shared" si="22"/>
        <v>0</v>
      </c>
      <c r="V148">
        <f t="shared" si="22"/>
        <v>0</v>
      </c>
      <c r="W148">
        <f t="shared" si="22"/>
        <v>0</v>
      </c>
      <c r="X148">
        <f t="shared" si="22"/>
        <v>0</v>
      </c>
      <c r="Y148">
        <f t="shared" si="22"/>
        <v>0</v>
      </c>
      <c r="Z148">
        <f t="shared" si="22"/>
        <v>0</v>
      </c>
      <c r="AA148">
        <f t="shared" si="22"/>
        <v>0</v>
      </c>
      <c r="AB148">
        <f t="shared" si="22"/>
        <v>0</v>
      </c>
      <c r="AC148">
        <f t="shared" si="22"/>
        <v>0</v>
      </c>
      <c r="AD148">
        <f t="shared" si="22"/>
        <v>0</v>
      </c>
      <c r="AE148">
        <f t="shared" si="22"/>
        <v>0</v>
      </c>
      <c r="AF148">
        <f t="shared" si="22"/>
        <v>0</v>
      </c>
      <c r="AG148">
        <f t="shared" si="22"/>
        <v>0</v>
      </c>
      <c r="AH148">
        <f t="shared" si="22"/>
        <v>0</v>
      </c>
      <c r="AI148">
        <f t="shared" si="21"/>
        <v>0</v>
      </c>
      <c r="AJ148">
        <f t="shared" si="21"/>
        <v>0</v>
      </c>
      <c r="AK148">
        <f t="shared" si="21"/>
        <v>0</v>
      </c>
      <c r="AL148">
        <f t="shared" si="21"/>
        <v>1</v>
      </c>
    </row>
    <row r="149" spans="1:38" x14ac:dyDescent="0.25">
      <c r="A149" t="s">
        <v>190</v>
      </c>
      <c r="B149" t="s">
        <v>386</v>
      </c>
      <c r="C149" t="s">
        <v>444</v>
      </c>
      <c r="D149" t="s">
        <v>364</v>
      </c>
      <c r="E149" s="9">
        <v>40331</v>
      </c>
      <c r="F149" s="9">
        <v>40878</v>
      </c>
      <c r="G149" s="2">
        <v>12480000</v>
      </c>
      <c r="H149">
        <v>120</v>
      </c>
      <c r="I149" t="s">
        <v>445</v>
      </c>
      <c r="J149" t="s">
        <v>445</v>
      </c>
      <c r="K149" s="9">
        <v>40878</v>
      </c>
      <c r="L149" s="2">
        <v>12480000</v>
      </c>
      <c r="M149">
        <v>60</v>
      </c>
      <c r="N149" s="2">
        <v>12480000</v>
      </c>
      <c r="O149">
        <v>0</v>
      </c>
      <c r="P149" t="s">
        <v>446</v>
      </c>
      <c r="Q149">
        <f t="shared" si="23"/>
        <v>2010</v>
      </c>
      <c r="R149">
        <f t="shared" si="24"/>
        <v>2011</v>
      </c>
      <c r="S149">
        <f t="shared" si="22"/>
        <v>0</v>
      </c>
      <c r="T149">
        <f t="shared" si="22"/>
        <v>0</v>
      </c>
      <c r="U149">
        <f t="shared" si="22"/>
        <v>0</v>
      </c>
      <c r="V149">
        <f t="shared" si="22"/>
        <v>0</v>
      </c>
      <c r="W149">
        <f t="shared" si="22"/>
        <v>0</v>
      </c>
      <c r="X149">
        <f t="shared" si="22"/>
        <v>1</v>
      </c>
      <c r="Y149">
        <f t="shared" si="22"/>
        <v>1</v>
      </c>
      <c r="Z149">
        <f t="shared" si="22"/>
        <v>0</v>
      </c>
      <c r="AA149">
        <f t="shared" si="22"/>
        <v>0</v>
      </c>
      <c r="AB149">
        <f t="shared" si="22"/>
        <v>0</v>
      </c>
      <c r="AC149">
        <f t="shared" si="22"/>
        <v>0</v>
      </c>
      <c r="AD149">
        <f t="shared" si="22"/>
        <v>0</v>
      </c>
      <c r="AE149">
        <f t="shared" si="22"/>
        <v>0</v>
      </c>
      <c r="AF149">
        <f t="shared" si="22"/>
        <v>0</v>
      </c>
      <c r="AG149">
        <f t="shared" si="22"/>
        <v>0</v>
      </c>
      <c r="AH149">
        <f t="shared" si="22"/>
        <v>0</v>
      </c>
      <c r="AI149">
        <f t="shared" si="21"/>
        <v>0</v>
      </c>
      <c r="AJ149">
        <f t="shared" si="21"/>
        <v>0</v>
      </c>
      <c r="AK149">
        <f t="shared" si="21"/>
        <v>0</v>
      </c>
      <c r="AL149">
        <f t="shared" si="21"/>
        <v>0</v>
      </c>
    </row>
    <row r="150" spans="1:38" x14ac:dyDescent="0.25">
      <c r="A150" t="s">
        <v>190</v>
      </c>
      <c r="B150" t="s">
        <v>386</v>
      </c>
      <c r="C150" t="s">
        <v>444</v>
      </c>
      <c r="D150" t="s">
        <v>364</v>
      </c>
      <c r="E150" s="9">
        <v>40883</v>
      </c>
      <c r="F150" s="9">
        <v>41248</v>
      </c>
      <c r="G150" s="2">
        <v>5200000</v>
      </c>
      <c r="H150">
        <v>50</v>
      </c>
      <c r="I150" t="s">
        <v>455</v>
      </c>
      <c r="J150" t="s">
        <v>445</v>
      </c>
      <c r="K150" s="9">
        <v>41248</v>
      </c>
      <c r="L150" s="2">
        <v>5200000</v>
      </c>
      <c r="M150">
        <v>25</v>
      </c>
      <c r="N150">
        <v>0</v>
      </c>
      <c r="O150">
        <v>0</v>
      </c>
      <c r="P150" t="s">
        <v>446</v>
      </c>
      <c r="Q150">
        <f t="shared" si="23"/>
        <v>2011</v>
      </c>
      <c r="R150">
        <f t="shared" si="24"/>
        <v>2012</v>
      </c>
      <c r="S150">
        <f t="shared" si="22"/>
        <v>0</v>
      </c>
      <c r="T150">
        <f t="shared" si="22"/>
        <v>0</v>
      </c>
      <c r="U150">
        <f t="shared" si="22"/>
        <v>0</v>
      </c>
      <c r="V150">
        <f t="shared" si="22"/>
        <v>0</v>
      </c>
      <c r="W150">
        <f t="shared" si="22"/>
        <v>0</v>
      </c>
      <c r="X150">
        <f t="shared" si="22"/>
        <v>0</v>
      </c>
      <c r="Y150">
        <f t="shared" si="22"/>
        <v>1</v>
      </c>
      <c r="Z150">
        <f t="shared" si="22"/>
        <v>1</v>
      </c>
      <c r="AA150">
        <f t="shared" si="22"/>
        <v>0</v>
      </c>
      <c r="AB150">
        <f t="shared" si="22"/>
        <v>0</v>
      </c>
      <c r="AC150">
        <f t="shared" si="22"/>
        <v>0</v>
      </c>
      <c r="AD150">
        <f t="shared" si="22"/>
        <v>0</v>
      </c>
      <c r="AE150">
        <f t="shared" si="22"/>
        <v>0</v>
      </c>
      <c r="AF150">
        <f t="shared" si="22"/>
        <v>0</v>
      </c>
      <c r="AG150">
        <f t="shared" si="22"/>
        <v>0</v>
      </c>
      <c r="AH150">
        <f t="shared" si="22"/>
        <v>0</v>
      </c>
      <c r="AI150">
        <f t="shared" si="21"/>
        <v>0</v>
      </c>
      <c r="AJ150">
        <f t="shared" si="21"/>
        <v>0</v>
      </c>
      <c r="AK150">
        <f t="shared" si="21"/>
        <v>0</v>
      </c>
      <c r="AL150">
        <f t="shared" si="21"/>
        <v>0</v>
      </c>
    </row>
    <row r="151" spans="1:38" x14ac:dyDescent="0.25">
      <c r="A151" t="s">
        <v>190</v>
      </c>
      <c r="B151" t="s">
        <v>386</v>
      </c>
      <c r="C151" t="s">
        <v>444</v>
      </c>
      <c r="D151" t="s">
        <v>337</v>
      </c>
      <c r="E151" s="9">
        <v>41250</v>
      </c>
      <c r="F151" s="9">
        <v>42344</v>
      </c>
      <c r="G151" s="2">
        <v>1040000</v>
      </c>
      <c r="H151">
        <v>10</v>
      </c>
      <c r="I151" t="s">
        <v>445</v>
      </c>
      <c r="J151" t="s">
        <v>445</v>
      </c>
      <c r="K151" s="9">
        <v>42460</v>
      </c>
      <c r="L151" s="2">
        <v>1040000</v>
      </c>
      <c r="M151">
        <v>5</v>
      </c>
      <c r="N151" s="2">
        <v>1040000</v>
      </c>
      <c r="O151" s="2">
        <v>104005</v>
      </c>
      <c r="P151" t="s">
        <v>446</v>
      </c>
      <c r="Q151">
        <f t="shared" si="23"/>
        <v>2012</v>
      </c>
      <c r="R151">
        <f t="shared" si="24"/>
        <v>2015</v>
      </c>
      <c r="S151">
        <f t="shared" si="22"/>
        <v>0</v>
      </c>
      <c r="T151">
        <f t="shared" si="22"/>
        <v>0</v>
      </c>
      <c r="U151">
        <f t="shared" si="22"/>
        <v>0</v>
      </c>
      <c r="V151">
        <f t="shared" si="22"/>
        <v>0</v>
      </c>
      <c r="W151">
        <f t="shared" si="22"/>
        <v>0</v>
      </c>
      <c r="X151">
        <f t="shared" si="22"/>
        <v>0</v>
      </c>
      <c r="Y151">
        <f t="shared" si="22"/>
        <v>0</v>
      </c>
      <c r="Z151">
        <f t="shared" si="22"/>
        <v>1</v>
      </c>
      <c r="AA151">
        <f t="shared" si="22"/>
        <v>1</v>
      </c>
      <c r="AB151">
        <f t="shared" si="22"/>
        <v>1</v>
      </c>
      <c r="AC151">
        <f t="shared" si="22"/>
        <v>1</v>
      </c>
      <c r="AD151">
        <f t="shared" si="22"/>
        <v>0</v>
      </c>
      <c r="AE151">
        <f t="shared" si="22"/>
        <v>0</v>
      </c>
      <c r="AF151">
        <f t="shared" si="22"/>
        <v>0</v>
      </c>
      <c r="AG151">
        <f t="shared" si="22"/>
        <v>0</v>
      </c>
      <c r="AH151">
        <f t="shared" si="22"/>
        <v>0</v>
      </c>
      <c r="AI151">
        <f t="shared" si="21"/>
        <v>0</v>
      </c>
      <c r="AJ151">
        <f t="shared" si="21"/>
        <v>0</v>
      </c>
      <c r="AK151">
        <f t="shared" si="21"/>
        <v>0</v>
      </c>
      <c r="AL151">
        <f t="shared" si="21"/>
        <v>0</v>
      </c>
    </row>
    <row r="152" spans="1:38" x14ac:dyDescent="0.25">
      <c r="A152" t="s">
        <v>191</v>
      </c>
      <c r="B152" t="s">
        <v>387</v>
      </c>
      <c r="C152" t="s">
        <v>444</v>
      </c>
      <c r="D152" t="s">
        <v>337</v>
      </c>
      <c r="E152" s="9">
        <v>43915</v>
      </c>
      <c r="F152" s="9">
        <v>45009</v>
      </c>
      <c r="G152" s="2">
        <v>252862000</v>
      </c>
      <c r="H152">
        <v>154.80000000000001</v>
      </c>
      <c r="I152" t="s">
        <v>445</v>
      </c>
      <c r="J152" t="s">
        <v>445</v>
      </c>
      <c r="K152" s="9">
        <v>45275</v>
      </c>
      <c r="L152" s="2">
        <v>252862000</v>
      </c>
      <c r="M152">
        <v>154.80000000000001</v>
      </c>
      <c r="N152" s="2">
        <v>252862000</v>
      </c>
      <c r="O152" s="2">
        <v>42000000</v>
      </c>
      <c r="P152" t="s">
        <v>446</v>
      </c>
      <c r="Q152">
        <f t="shared" si="23"/>
        <v>2020</v>
      </c>
      <c r="R152">
        <f t="shared" si="24"/>
        <v>2023</v>
      </c>
      <c r="S152">
        <f t="shared" si="22"/>
        <v>0</v>
      </c>
      <c r="T152">
        <f t="shared" si="22"/>
        <v>0</v>
      </c>
      <c r="U152">
        <f t="shared" si="22"/>
        <v>0</v>
      </c>
      <c r="V152">
        <f t="shared" si="22"/>
        <v>0</v>
      </c>
      <c r="W152">
        <f t="shared" si="22"/>
        <v>0</v>
      </c>
      <c r="X152">
        <f t="shared" si="22"/>
        <v>0</v>
      </c>
      <c r="Y152">
        <f t="shared" si="22"/>
        <v>0</v>
      </c>
      <c r="Z152">
        <f t="shared" si="22"/>
        <v>0</v>
      </c>
      <c r="AA152">
        <f t="shared" si="22"/>
        <v>0</v>
      </c>
      <c r="AB152">
        <f t="shared" si="22"/>
        <v>0</v>
      </c>
      <c r="AC152">
        <f t="shared" si="22"/>
        <v>0</v>
      </c>
      <c r="AD152">
        <f t="shared" si="22"/>
        <v>0</v>
      </c>
      <c r="AE152">
        <f t="shared" si="22"/>
        <v>0</v>
      </c>
      <c r="AF152">
        <f t="shared" si="22"/>
        <v>0</v>
      </c>
      <c r="AG152">
        <f t="shared" si="22"/>
        <v>0</v>
      </c>
      <c r="AH152">
        <f t="shared" ref="AH152:AL166" si="25">IF(AND(AH$10 &gt;= $Q152, AH$10 &lt;= $R152), 1, 0)</f>
        <v>1</v>
      </c>
      <c r="AI152">
        <f t="shared" si="25"/>
        <v>1</v>
      </c>
      <c r="AJ152">
        <f t="shared" si="25"/>
        <v>1</v>
      </c>
      <c r="AK152">
        <f t="shared" si="25"/>
        <v>1</v>
      </c>
      <c r="AL152">
        <f t="shared" si="25"/>
        <v>0</v>
      </c>
    </row>
    <row r="153" spans="1:38" x14ac:dyDescent="0.25">
      <c r="A153" t="s">
        <v>191</v>
      </c>
      <c r="B153" t="s">
        <v>387</v>
      </c>
      <c r="C153" t="s">
        <v>444</v>
      </c>
      <c r="D153" t="s">
        <v>337</v>
      </c>
      <c r="E153" s="9">
        <v>45279</v>
      </c>
      <c r="F153" s="9">
        <v>46374</v>
      </c>
      <c r="G153" s="2">
        <v>75000000</v>
      </c>
      <c r="H153">
        <v>45.9</v>
      </c>
      <c r="I153" t="s">
        <v>445</v>
      </c>
      <c r="J153" t="s">
        <v>445</v>
      </c>
      <c r="K153" s="9">
        <v>46374</v>
      </c>
      <c r="L153" s="2">
        <v>75000000</v>
      </c>
      <c r="M153">
        <v>45.9</v>
      </c>
      <c r="N153" s="2">
        <v>45000000</v>
      </c>
      <c r="O153" s="2">
        <v>45000000</v>
      </c>
      <c r="P153" t="s">
        <v>451</v>
      </c>
      <c r="Q153">
        <f t="shared" si="23"/>
        <v>2023</v>
      </c>
      <c r="R153">
        <f t="shared" si="24"/>
        <v>2024</v>
      </c>
      <c r="S153">
        <f t="shared" ref="S153:AH166" si="26">IF(AND(S$10 &gt;= $Q153, S$10 &lt;= $R153), 1, 0)</f>
        <v>0</v>
      </c>
      <c r="T153">
        <f t="shared" si="26"/>
        <v>0</v>
      </c>
      <c r="U153">
        <f t="shared" si="26"/>
        <v>0</v>
      </c>
      <c r="V153">
        <f t="shared" si="26"/>
        <v>0</v>
      </c>
      <c r="W153">
        <f t="shared" si="26"/>
        <v>0</v>
      </c>
      <c r="X153">
        <f t="shared" si="26"/>
        <v>0</v>
      </c>
      <c r="Y153">
        <f t="shared" si="26"/>
        <v>0</v>
      </c>
      <c r="Z153">
        <f t="shared" si="26"/>
        <v>0</v>
      </c>
      <c r="AA153">
        <f t="shared" si="26"/>
        <v>0</v>
      </c>
      <c r="AB153">
        <f t="shared" si="26"/>
        <v>0</v>
      </c>
      <c r="AC153">
        <f t="shared" si="26"/>
        <v>0</v>
      </c>
      <c r="AD153">
        <f t="shared" si="26"/>
        <v>0</v>
      </c>
      <c r="AE153">
        <f t="shared" si="26"/>
        <v>0</v>
      </c>
      <c r="AF153">
        <f t="shared" si="26"/>
        <v>0</v>
      </c>
      <c r="AG153">
        <f t="shared" si="26"/>
        <v>0</v>
      </c>
      <c r="AH153">
        <f t="shared" si="26"/>
        <v>0</v>
      </c>
      <c r="AI153">
        <f t="shared" si="25"/>
        <v>0</v>
      </c>
      <c r="AJ153">
        <f t="shared" si="25"/>
        <v>0</v>
      </c>
      <c r="AK153">
        <f t="shared" si="25"/>
        <v>1</v>
      </c>
      <c r="AL153">
        <f t="shared" si="25"/>
        <v>1</v>
      </c>
    </row>
    <row r="154" spans="1:38" x14ac:dyDescent="0.25">
      <c r="A154" t="s">
        <v>196</v>
      </c>
      <c r="B154" t="s">
        <v>388</v>
      </c>
      <c r="C154" t="s">
        <v>444</v>
      </c>
      <c r="D154" t="s">
        <v>337</v>
      </c>
      <c r="E154" s="9">
        <v>44376</v>
      </c>
      <c r="F154" s="9">
        <v>45563</v>
      </c>
      <c r="G154" s="2">
        <v>1733051000</v>
      </c>
      <c r="H154">
        <v>275</v>
      </c>
      <c r="I154" t="s">
        <v>445</v>
      </c>
      <c r="J154" t="s">
        <v>445</v>
      </c>
      <c r="K154" s="9">
        <v>44923</v>
      </c>
      <c r="L154" s="2">
        <v>1733051000</v>
      </c>
      <c r="M154">
        <v>275</v>
      </c>
      <c r="N154" s="2">
        <v>991551000</v>
      </c>
      <c r="O154" s="2">
        <v>991551000</v>
      </c>
      <c r="P154" t="s">
        <v>446</v>
      </c>
      <c r="Q154">
        <f t="shared" si="23"/>
        <v>2021</v>
      </c>
      <c r="R154">
        <f t="shared" si="24"/>
        <v>2024</v>
      </c>
      <c r="S154">
        <f t="shared" si="26"/>
        <v>0</v>
      </c>
      <c r="T154">
        <f t="shared" si="26"/>
        <v>0</v>
      </c>
      <c r="U154">
        <f t="shared" si="26"/>
        <v>0</v>
      </c>
      <c r="V154">
        <f t="shared" si="26"/>
        <v>0</v>
      </c>
      <c r="W154">
        <f t="shared" si="26"/>
        <v>0</v>
      </c>
      <c r="X154">
        <f t="shared" si="26"/>
        <v>0</v>
      </c>
      <c r="Y154">
        <f t="shared" si="26"/>
        <v>0</v>
      </c>
      <c r="Z154">
        <f t="shared" si="26"/>
        <v>0</v>
      </c>
      <c r="AA154">
        <f t="shared" si="26"/>
        <v>0</v>
      </c>
      <c r="AB154">
        <f t="shared" si="26"/>
        <v>0</v>
      </c>
      <c r="AC154">
        <f t="shared" si="26"/>
        <v>0</v>
      </c>
      <c r="AD154">
        <f t="shared" si="26"/>
        <v>0</v>
      </c>
      <c r="AE154">
        <f t="shared" si="26"/>
        <v>0</v>
      </c>
      <c r="AF154">
        <f t="shared" si="26"/>
        <v>0</v>
      </c>
      <c r="AG154">
        <f t="shared" si="26"/>
        <v>0</v>
      </c>
      <c r="AH154">
        <f t="shared" si="26"/>
        <v>0</v>
      </c>
      <c r="AI154">
        <f t="shared" si="25"/>
        <v>1</v>
      </c>
      <c r="AJ154">
        <f t="shared" si="25"/>
        <v>1</v>
      </c>
      <c r="AK154">
        <f t="shared" si="25"/>
        <v>1</v>
      </c>
      <c r="AL154">
        <f t="shared" si="25"/>
        <v>1</v>
      </c>
    </row>
    <row r="155" spans="1:38" x14ac:dyDescent="0.25">
      <c r="A155" t="s">
        <v>389</v>
      </c>
      <c r="B155" t="s">
        <v>390</v>
      </c>
      <c r="C155" t="s">
        <v>444</v>
      </c>
      <c r="D155" t="s">
        <v>337</v>
      </c>
      <c r="E155" s="9">
        <v>39924</v>
      </c>
      <c r="F155" s="9">
        <v>41019</v>
      </c>
      <c r="G155" s="2">
        <v>78300000</v>
      </c>
      <c r="H155">
        <v>90</v>
      </c>
      <c r="I155" t="s">
        <v>445</v>
      </c>
      <c r="J155" t="s">
        <v>445</v>
      </c>
      <c r="K155" s="9">
        <v>41038</v>
      </c>
      <c r="L155" s="2">
        <v>104400000</v>
      </c>
      <c r="M155">
        <v>60</v>
      </c>
      <c r="N155" s="2">
        <v>104400000</v>
      </c>
      <c r="O155">
        <v>0</v>
      </c>
      <c r="P155" t="s">
        <v>446</v>
      </c>
      <c r="Q155">
        <f t="shared" si="23"/>
        <v>2009</v>
      </c>
      <c r="R155">
        <f t="shared" si="24"/>
        <v>2012</v>
      </c>
      <c r="S155">
        <f t="shared" si="26"/>
        <v>0</v>
      </c>
      <c r="T155">
        <f t="shared" si="26"/>
        <v>0</v>
      </c>
      <c r="U155">
        <f t="shared" si="26"/>
        <v>0</v>
      </c>
      <c r="V155">
        <f t="shared" si="26"/>
        <v>0</v>
      </c>
      <c r="W155">
        <f t="shared" si="26"/>
        <v>1</v>
      </c>
      <c r="X155">
        <f t="shared" si="26"/>
        <v>1</v>
      </c>
      <c r="Y155">
        <f t="shared" si="26"/>
        <v>1</v>
      </c>
      <c r="Z155">
        <f t="shared" si="26"/>
        <v>1</v>
      </c>
      <c r="AA155">
        <f t="shared" si="26"/>
        <v>0</v>
      </c>
      <c r="AB155">
        <f t="shared" si="26"/>
        <v>0</v>
      </c>
      <c r="AC155">
        <f t="shared" si="26"/>
        <v>0</v>
      </c>
      <c r="AD155">
        <f t="shared" si="26"/>
        <v>0</v>
      </c>
      <c r="AE155">
        <f t="shared" si="26"/>
        <v>0</v>
      </c>
      <c r="AF155">
        <f t="shared" si="26"/>
        <v>0</v>
      </c>
      <c r="AG155">
        <f t="shared" si="26"/>
        <v>0</v>
      </c>
      <c r="AH155">
        <f t="shared" si="26"/>
        <v>0</v>
      </c>
      <c r="AI155">
        <f t="shared" si="25"/>
        <v>0</v>
      </c>
      <c r="AJ155">
        <f t="shared" si="25"/>
        <v>0</v>
      </c>
      <c r="AK155">
        <f t="shared" si="25"/>
        <v>0</v>
      </c>
      <c r="AL155">
        <f t="shared" si="25"/>
        <v>0</v>
      </c>
    </row>
    <row r="156" spans="1:38" x14ac:dyDescent="0.25">
      <c r="A156" t="s">
        <v>200</v>
      </c>
      <c r="B156" t="s">
        <v>391</v>
      </c>
      <c r="C156" t="s">
        <v>444</v>
      </c>
      <c r="D156" t="s">
        <v>453</v>
      </c>
      <c r="E156" s="9">
        <v>39962</v>
      </c>
      <c r="F156" s="9">
        <v>40326</v>
      </c>
      <c r="G156" s="2">
        <v>218790000</v>
      </c>
      <c r="H156">
        <v>110</v>
      </c>
      <c r="I156" t="s">
        <v>445</v>
      </c>
      <c r="J156" t="s">
        <v>445</v>
      </c>
      <c r="K156" s="9">
        <v>40343</v>
      </c>
      <c r="L156" s="2">
        <v>218790000</v>
      </c>
      <c r="M156">
        <v>55</v>
      </c>
      <c r="N156" s="2">
        <v>218790000</v>
      </c>
      <c r="O156">
        <v>0</v>
      </c>
      <c r="P156" t="s">
        <v>446</v>
      </c>
      <c r="Q156">
        <f t="shared" si="23"/>
        <v>2009</v>
      </c>
      <c r="R156">
        <f t="shared" si="24"/>
        <v>2010</v>
      </c>
      <c r="S156">
        <f t="shared" si="26"/>
        <v>0</v>
      </c>
      <c r="T156">
        <f t="shared" si="26"/>
        <v>0</v>
      </c>
      <c r="U156">
        <f t="shared" si="26"/>
        <v>0</v>
      </c>
      <c r="V156">
        <f t="shared" si="26"/>
        <v>0</v>
      </c>
      <c r="W156">
        <f t="shared" si="26"/>
        <v>1</v>
      </c>
      <c r="X156">
        <f t="shared" si="26"/>
        <v>1</v>
      </c>
      <c r="Y156">
        <f t="shared" si="26"/>
        <v>0</v>
      </c>
      <c r="Z156">
        <f t="shared" si="26"/>
        <v>0</v>
      </c>
      <c r="AA156">
        <f t="shared" si="26"/>
        <v>0</v>
      </c>
      <c r="AB156">
        <f t="shared" si="26"/>
        <v>0</v>
      </c>
      <c r="AC156">
        <f t="shared" si="26"/>
        <v>0</v>
      </c>
      <c r="AD156">
        <f t="shared" si="26"/>
        <v>0</v>
      </c>
      <c r="AE156">
        <f t="shared" si="26"/>
        <v>0</v>
      </c>
      <c r="AF156">
        <f t="shared" si="26"/>
        <v>0</v>
      </c>
      <c r="AG156">
        <f t="shared" si="26"/>
        <v>0</v>
      </c>
      <c r="AH156">
        <f t="shared" si="26"/>
        <v>0</v>
      </c>
      <c r="AI156">
        <f t="shared" si="25"/>
        <v>0</v>
      </c>
      <c r="AJ156">
        <f t="shared" si="25"/>
        <v>0</v>
      </c>
      <c r="AK156">
        <f t="shared" si="25"/>
        <v>0</v>
      </c>
      <c r="AL156">
        <f t="shared" si="25"/>
        <v>0</v>
      </c>
    </row>
    <row r="157" spans="1:38" x14ac:dyDescent="0.25">
      <c r="A157" t="s">
        <v>200</v>
      </c>
      <c r="B157" t="s">
        <v>391</v>
      </c>
      <c r="C157" t="s">
        <v>444</v>
      </c>
      <c r="D157" t="s">
        <v>364</v>
      </c>
      <c r="E157" s="9">
        <v>41096</v>
      </c>
      <c r="F157" s="9">
        <v>41644</v>
      </c>
      <c r="G157" s="2">
        <v>149175000</v>
      </c>
      <c r="H157">
        <v>75</v>
      </c>
      <c r="I157" t="s">
        <v>455</v>
      </c>
      <c r="J157" t="s">
        <v>445</v>
      </c>
      <c r="K157" s="9">
        <v>41759</v>
      </c>
      <c r="L157" s="2">
        <v>149175000</v>
      </c>
      <c r="M157">
        <v>37.5</v>
      </c>
      <c r="N157" s="2">
        <v>74600000</v>
      </c>
      <c r="O157">
        <v>0</v>
      </c>
      <c r="P157" t="s">
        <v>446</v>
      </c>
      <c r="Q157">
        <f t="shared" si="23"/>
        <v>2012</v>
      </c>
      <c r="R157">
        <f t="shared" si="24"/>
        <v>2014</v>
      </c>
      <c r="S157">
        <f t="shared" si="26"/>
        <v>0</v>
      </c>
      <c r="T157">
        <f t="shared" si="26"/>
        <v>0</v>
      </c>
      <c r="U157">
        <f t="shared" si="26"/>
        <v>0</v>
      </c>
      <c r="V157">
        <f t="shared" si="26"/>
        <v>0</v>
      </c>
      <c r="W157">
        <f t="shared" si="26"/>
        <v>0</v>
      </c>
      <c r="X157">
        <f t="shared" si="26"/>
        <v>0</v>
      </c>
      <c r="Y157">
        <f t="shared" si="26"/>
        <v>0</v>
      </c>
      <c r="Z157">
        <f t="shared" si="26"/>
        <v>1</v>
      </c>
      <c r="AA157">
        <f t="shared" si="26"/>
        <v>1</v>
      </c>
      <c r="AB157">
        <f t="shared" si="26"/>
        <v>1</v>
      </c>
      <c r="AC157">
        <f t="shared" si="26"/>
        <v>0</v>
      </c>
      <c r="AD157">
        <f t="shared" si="26"/>
        <v>0</v>
      </c>
      <c r="AE157">
        <f t="shared" si="26"/>
        <v>0</v>
      </c>
      <c r="AF157">
        <f t="shared" si="26"/>
        <v>0</v>
      </c>
      <c r="AG157">
        <f t="shared" si="26"/>
        <v>0</v>
      </c>
      <c r="AH157">
        <f t="shared" si="26"/>
        <v>0</v>
      </c>
      <c r="AI157">
        <f t="shared" si="25"/>
        <v>0</v>
      </c>
      <c r="AJ157">
        <f t="shared" si="25"/>
        <v>0</v>
      </c>
      <c r="AK157">
        <f t="shared" si="25"/>
        <v>0</v>
      </c>
      <c r="AL157">
        <f t="shared" si="25"/>
        <v>0</v>
      </c>
    </row>
    <row r="158" spans="1:38" x14ac:dyDescent="0.25">
      <c r="A158" t="s">
        <v>200</v>
      </c>
      <c r="B158" t="s">
        <v>391</v>
      </c>
      <c r="C158" t="s">
        <v>444</v>
      </c>
      <c r="D158" t="s">
        <v>337</v>
      </c>
      <c r="E158" s="9">
        <v>44760</v>
      </c>
      <c r="F158" s="9">
        <v>45978</v>
      </c>
      <c r="G158" s="2">
        <v>795580000</v>
      </c>
      <c r="H158">
        <v>200</v>
      </c>
      <c r="I158" t="s">
        <v>445</v>
      </c>
      <c r="J158" t="s">
        <v>445</v>
      </c>
      <c r="K158" s="9">
        <v>46159</v>
      </c>
      <c r="L158" s="2">
        <v>795580000</v>
      </c>
      <c r="M158">
        <v>200</v>
      </c>
      <c r="N158" s="2">
        <v>568840000</v>
      </c>
      <c r="O158" s="2">
        <v>568840000</v>
      </c>
      <c r="P158" t="s">
        <v>451</v>
      </c>
      <c r="Q158">
        <f t="shared" si="23"/>
        <v>2022</v>
      </c>
      <c r="R158">
        <f t="shared" si="24"/>
        <v>2024</v>
      </c>
      <c r="S158">
        <f t="shared" si="26"/>
        <v>0</v>
      </c>
      <c r="T158">
        <f t="shared" si="26"/>
        <v>0</v>
      </c>
      <c r="U158">
        <f t="shared" si="26"/>
        <v>0</v>
      </c>
      <c r="V158">
        <f t="shared" si="26"/>
        <v>0</v>
      </c>
      <c r="W158">
        <f t="shared" si="26"/>
        <v>0</v>
      </c>
      <c r="X158">
        <f t="shared" si="26"/>
        <v>0</v>
      </c>
      <c r="Y158">
        <f t="shared" si="26"/>
        <v>0</v>
      </c>
      <c r="Z158">
        <f t="shared" si="26"/>
        <v>0</v>
      </c>
      <c r="AA158">
        <f t="shared" si="26"/>
        <v>0</v>
      </c>
      <c r="AB158">
        <f t="shared" si="26"/>
        <v>0</v>
      </c>
      <c r="AC158">
        <f t="shared" si="26"/>
        <v>0</v>
      </c>
      <c r="AD158">
        <f t="shared" si="26"/>
        <v>0</v>
      </c>
      <c r="AE158">
        <f t="shared" si="26"/>
        <v>0</v>
      </c>
      <c r="AF158">
        <f t="shared" si="26"/>
        <v>0</v>
      </c>
      <c r="AG158">
        <f t="shared" si="26"/>
        <v>0</v>
      </c>
      <c r="AH158">
        <f t="shared" si="26"/>
        <v>0</v>
      </c>
      <c r="AI158">
        <f t="shared" si="25"/>
        <v>0</v>
      </c>
      <c r="AJ158">
        <f t="shared" si="25"/>
        <v>1</v>
      </c>
      <c r="AK158">
        <f t="shared" si="25"/>
        <v>1</v>
      </c>
      <c r="AL158">
        <f t="shared" si="25"/>
        <v>1</v>
      </c>
    </row>
    <row r="159" spans="1:38" x14ac:dyDescent="0.25">
      <c r="A159" t="s">
        <v>202</v>
      </c>
      <c r="B159" t="s">
        <v>392</v>
      </c>
      <c r="C159" t="s">
        <v>444</v>
      </c>
      <c r="D159" t="s">
        <v>337</v>
      </c>
      <c r="E159" s="9">
        <v>39559</v>
      </c>
      <c r="F159" s="9">
        <v>40653</v>
      </c>
      <c r="G159" s="2">
        <v>66060000</v>
      </c>
      <c r="H159">
        <v>90</v>
      </c>
      <c r="I159" t="s">
        <v>445</v>
      </c>
      <c r="J159" t="s">
        <v>445</v>
      </c>
      <c r="K159" s="9">
        <v>40750</v>
      </c>
      <c r="L159" s="2">
        <v>95410000</v>
      </c>
      <c r="M159">
        <v>65</v>
      </c>
      <c r="N159" s="2">
        <v>95410000</v>
      </c>
      <c r="O159">
        <v>0</v>
      </c>
      <c r="P159" t="s">
        <v>446</v>
      </c>
      <c r="Q159">
        <f t="shared" si="23"/>
        <v>2008</v>
      </c>
      <c r="R159">
        <f t="shared" si="24"/>
        <v>2011</v>
      </c>
      <c r="S159">
        <f t="shared" si="26"/>
        <v>0</v>
      </c>
      <c r="T159">
        <f t="shared" si="26"/>
        <v>0</v>
      </c>
      <c r="U159">
        <f t="shared" si="26"/>
        <v>0</v>
      </c>
      <c r="V159">
        <f t="shared" si="26"/>
        <v>1</v>
      </c>
      <c r="W159">
        <f t="shared" si="26"/>
        <v>1</v>
      </c>
      <c r="X159">
        <f t="shared" si="26"/>
        <v>1</v>
      </c>
      <c r="Y159">
        <f t="shared" si="26"/>
        <v>1</v>
      </c>
      <c r="Z159">
        <f t="shared" si="26"/>
        <v>0</v>
      </c>
      <c r="AA159">
        <f t="shared" si="26"/>
        <v>0</v>
      </c>
      <c r="AB159">
        <f t="shared" si="26"/>
        <v>0</v>
      </c>
      <c r="AC159">
        <f t="shared" si="26"/>
        <v>0</v>
      </c>
      <c r="AD159">
        <f t="shared" si="26"/>
        <v>0</v>
      </c>
      <c r="AE159">
        <f t="shared" si="26"/>
        <v>0</v>
      </c>
      <c r="AF159">
        <f t="shared" si="26"/>
        <v>0</v>
      </c>
      <c r="AG159">
        <f t="shared" si="26"/>
        <v>0</v>
      </c>
      <c r="AH159">
        <f t="shared" si="26"/>
        <v>0</v>
      </c>
      <c r="AI159">
        <f t="shared" si="25"/>
        <v>0</v>
      </c>
      <c r="AJ159">
        <f t="shared" si="25"/>
        <v>0</v>
      </c>
      <c r="AK159">
        <f t="shared" si="25"/>
        <v>0</v>
      </c>
      <c r="AL159">
        <f t="shared" si="25"/>
        <v>0</v>
      </c>
    </row>
    <row r="160" spans="1:38" x14ac:dyDescent="0.25">
      <c r="A160" t="s">
        <v>202</v>
      </c>
      <c r="B160" t="s">
        <v>392</v>
      </c>
      <c r="C160" t="s">
        <v>444</v>
      </c>
      <c r="D160" t="s">
        <v>337</v>
      </c>
      <c r="E160" s="9">
        <v>42860</v>
      </c>
      <c r="F160" s="9">
        <v>43955</v>
      </c>
      <c r="G160" s="2">
        <v>176160000</v>
      </c>
      <c r="H160">
        <v>120</v>
      </c>
      <c r="I160" t="s">
        <v>445</v>
      </c>
      <c r="J160" t="s">
        <v>445</v>
      </c>
      <c r="K160" s="9">
        <v>43928</v>
      </c>
      <c r="L160" s="2">
        <v>247650000</v>
      </c>
      <c r="M160">
        <v>168.7</v>
      </c>
      <c r="N160" s="2">
        <v>247650000</v>
      </c>
      <c r="O160" s="2">
        <v>212412000</v>
      </c>
      <c r="P160" t="s">
        <v>446</v>
      </c>
      <c r="Q160">
        <f t="shared" si="23"/>
        <v>2017</v>
      </c>
      <c r="R160">
        <f t="shared" si="24"/>
        <v>2020</v>
      </c>
      <c r="S160">
        <f t="shared" si="26"/>
        <v>0</v>
      </c>
      <c r="T160">
        <f t="shared" si="26"/>
        <v>0</v>
      </c>
      <c r="U160">
        <f t="shared" si="26"/>
        <v>0</v>
      </c>
      <c r="V160">
        <f t="shared" si="26"/>
        <v>0</v>
      </c>
      <c r="W160">
        <f t="shared" si="26"/>
        <v>0</v>
      </c>
      <c r="X160">
        <f t="shared" si="26"/>
        <v>0</v>
      </c>
      <c r="Y160">
        <f t="shared" si="26"/>
        <v>0</v>
      </c>
      <c r="Z160">
        <f t="shared" si="26"/>
        <v>0</v>
      </c>
      <c r="AA160">
        <f t="shared" si="26"/>
        <v>0</v>
      </c>
      <c r="AB160">
        <f t="shared" si="26"/>
        <v>0</v>
      </c>
      <c r="AC160">
        <f t="shared" si="26"/>
        <v>0</v>
      </c>
      <c r="AD160">
        <f t="shared" si="26"/>
        <v>0</v>
      </c>
      <c r="AE160">
        <f t="shared" si="26"/>
        <v>1</v>
      </c>
      <c r="AF160">
        <f t="shared" si="26"/>
        <v>1</v>
      </c>
      <c r="AG160">
        <f t="shared" si="26"/>
        <v>1</v>
      </c>
      <c r="AH160">
        <f t="shared" si="26"/>
        <v>1</v>
      </c>
      <c r="AI160">
        <f t="shared" si="25"/>
        <v>0</v>
      </c>
      <c r="AJ160">
        <f t="shared" si="25"/>
        <v>0</v>
      </c>
      <c r="AK160">
        <f t="shared" si="25"/>
        <v>0</v>
      </c>
      <c r="AL160">
        <f t="shared" si="25"/>
        <v>0</v>
      </c>
    </row>
    <row r="161" spans="1:38" x14ac:dyDescent="0.25">
      <c r="A161" t="s">
        <v>202</v>
      </c>
      <c r="B161" t="s">
        <v>392</v>
      </c>
      <c r="C161" t="s">
        <v>444</v>
      </c>
      <c r="D161" t="s">
        <v>337</v>
      </c>
      <c r="E161" s="9">
        <v>45352</v>
      </c>
      <c r="F161" s="9">
        <v>46630</v>
      </c>
      <c r="G161" s="2">
        <v>293600000</v>
      </c>
      <c r="H161">
        <v>200</v>
      </c>
      <c r="I161" t="s">
        <v>445</v>
      </c>
      <c r="J161" t="s">
        <v>445</v>
      </c>
      <c r="K161" s="9">
        <v>46630</v>
      </c>
      <c r="L161" s="2">
        <v>293600000</v>
      </c>
      <c r="M161">
        <v>200</v>
      </c>
      <c r="N161" s="2">
        <v>95420000</v>
      </c>
      <c r="O161" s="2">
        <v>95420000</v>
      </c>
      <c r="P161" t="s">
        <v>451</v>
      </c>
      <c r="Q161">
        <f t="shared" si="23"/>
        <v>2024</v>
      </c>
      <c r="R161">
        <f t="shared" si="24"/>
        <v>2024</v>
      </c>
      <c r="S161">
        <f t="shared" si="26"/>
        <v>0</v>
      </c>
      <c r="T161">
        <f t="shared" si="26"/>
        <v>0</v>
      </c>
      <c r="U161">
        <f t="shared" si="26"/>
        <v>0</v>
      </c>
      <c r="V161">
        <f t="shared" si="26"/>
        <v>0</v>
      </c>
      <c r="W161">
        <f t="shared" si="26"/>
        <v>0</v>
      </c>
      <c r="X161">
        <f t="shared" si="26"/>
        <v>0</v>
      </c>
      <c r="Y161">
        <f t="shared" si="26"/>
        <v>0</v>
      </c>
      <c r="Z161">
        <f t="shared" si="26"/>
        <v>0</v>
      </c>
      <c r="AA161">
        <f t="shared" si="26"/>
        <v>0</v>
      </c>
      <c r="AB161">
        <f t="shared" si="26"/>
        <v>0</v>
      </c>
      <c r="AC161">
        <f t="shared" si="26"/>
        <v>0</v>
      </c>
      <c r="AD161">
        <f t="shared" si="26"/>
        <v>0</v>
      </c>
      <c r="AE161">
        <f t="shared" si="26"/>
        <v>0</v>
      </c>
      <c r="AF161">
        <f t="shared" si="26"/>
        <v>0</v>
      </c>
      <c r="AG161">
        <f t="shared" si="26"/>
        <v>0</v>
      </c>
      <c r="AH161">
        <f t="shared" si="26"/>
        <v>0</v>
      </c>
      <c r="AI161">
        <f t="shared" si="25"/>
        <v>0</v>
      </c>
      <c r="AJ161">
        <f t="shared" si="25"/>
        <v>0</v>
      </c>
      <c r="AK161">
        <f t="shared" si="25"/>
        <v>0</v>
      </c>
      <c r="AL161">
        <f t="shared" si="25"/>
        <v>1</v>
      </c>
    </row>
    <row r="162" spans="1:38" x14ac:dyDescent="0.25">
      <c r="A162" t="s">
        <v>206</v>
      </c>
      <c r="B162" t="s">
        <v>393</v>
      </c>
      <c r="C162" t="s">
        <v>444</v>
      </c>
      <c r="D162" t="s">
        <v>337</v>
      </c>
      <c r="E162" s="9">
        <v>44375</v>
      </c>
      <c r="F162" s="9">
        <v>45470</v>
      </c>
      <c r="G162" s="2">
        <v>722000000</v>
      </c>
      <c r="H162">
        <v>200</v>
      </c>
      <c r="I162" t="s">
        <v>445</v>
      </c>
      <c r="J162" t="s">
        <v>445</v>
      </c>
      <c r="K162" s="9">
        <v>45470</v>
      </c>
      <c r="L162" s="2">
        <v>722000000</v>
      </c>
      <c r="M162">
        <v>200</v>
      </c>
      <c r="N162" s="2">
        <v>631750000</v>
      </c>
      <c r="O162" s="2">
        <v>631750000</v>
      </c>
      <c r="P162" t="s">
        <v>446</v>
      </c>
      <c r="Q162">
        <f t="shared" si="23"/>
        <v>2021</v>
      </c>
      <c r="R162">
        <f t="shared" si="24"/>
        <v>2024</v>
      </c>
      <c r="S162">
        <f t="shared" si="26"/>
        <v>0</v>
      </c>
      <c r="T162">
        <f t="shared" si="26"/>
        <v>0</v>
      </c>
      <c r="U162">
        <f t="shared" si="26"/>
        <v>0</v>
      </c>
      <c r="V162">
        <f t="shared" si="26"/>
        <v>0</v>
      </c>
      <c r="W162">
        <f t="shared" si="26"/>
        <v>0</v>
      </c>
      <c r="X162">
        <f t="shared" si="26"/>
        <v>0</v>
      </c>
      <c r="Y162">
        <f t="shared" si="26"/>
        <v>0</v>
      </c>
      <c r="Z162">
        <f t="shared" si="26"/>
        <v>0</v>
      </c>
      <c r="AA162">
        <f t="shared" si="26"/>
        <v>0</v>
      </c>
      <c r="AB162">
        <f t="shared" si="26"/>
        <v>0</v>
      </c>
      <c r="AC162">
        <f t="shared" si="26"/>
        <v>0</v>
      </c>
      <c r="AD162">
        <f t="shared" si="26"/>
        <v>0</v>
      </c>
      <c r="AE162">
        <f t="shared" si="26"/>
        <v>0</v>
      </c>
      <c r="AF162">
        <f t="shared" si="26"/>
        <v>0</v>
      </c>
      <c r="AG162">
        <f t="shared" si="26"/>
        <v>0</v>
      </c>
      <c r="AH162">
        <f t="shared" si="26"/>
        <v>0</v>
      </c>
      <c r="AI162">
        <f t="shared" si="25"/>
        <v>1</v>
      </c>
      <c r="AJ162">
        <f t="shared" si="25"/>
        <v>1</v>
      </c>
      <c r="AK162">
        <f t="shared" si="25"/>
        <v>1</v>
      </c>
      <c r="AL162">
        <f t="shared" si="25"/>
        <v>1</v>
      </c>
    </row>
    <row r="163" spans="1:38" x14ac:dyDescent="0.25">
      <c r="A163" t="s">
        <v>394</v>
      </c>
      <c r="B163" t="s">
        <v>395</v>
      </c>
      <c r="C163" t="s">
        <v>444</v>
      </c>
      <c r="D163" t="s">
        <v>337</v>
      </c>
      <c r="E163" s="9">
        <v>40389</v>
      </c>
      <c r="F163" s="9">
        <v>41484</v>
      </c>
      <c r="G163" s="2">
        <v>243500000</v>
      </c>
      <c r="H163">
        <v>100</v>
      </c>
      <c r="I163" t="s">
        <v>445</v>
      </c>
      <c r="J163" t="s">
        <v>445</v>
      </c>
      <c r="K163" s="9">
        <v>41003</v>
      </c>
      <c r="L163" s="2">
        <v>243500000</v>
      </c>
      <c r="M163">
        <v>50</v>
      </c>
      <c r="N163" s="2">
        <v>34790000</v>
      </c>
      <c r="O163">
        <v>0</v>
      </c>
      <c r="P163" t="s">
        <v>446</v>
      </c>
      <c r="Q163">
        <f t="shared" si="23"/>
        <v>2010</v>
      </c>
      <c r="R163">
        <f t="shared" si="24"/>
        <v>2013</v>
      </c>
      <c r="S163">
        <f t="shared" si="26"/>
        <v>0</v>
      </c>
      <c r="T163">
        <f t="shared" si="26"/>
        <v>0</v>
      </c>
      <c r="U163">
        <f t="shared" si="26"/>
        <v>0</v>
      </c>
      <c r="V163">
        <f t="shared" si="26"/>
        <v>0</v>
      </c>
      <c r="W163">
        <f t="shared" si="26"/>
        <v>0</v>
      </c>
      <c r="X163">
        <f t="shared" si="26"/>
        <v>1</v>
      </c>
      <c r="Y163">
        <f t="shared" si="26"/>
        <v>1</v>
      </c>
      <c r="Z163">
        <f t="shared" si="26"/>
        <v>1</v>
      </c>
      <c r="AA163">
        <f t="shared" si="26"/>
        <v>1</v>
      </c>
      <c r="AB163">
        <f t="shared" si="26"/>
        <v>0</v>
      </c>
      <c r="AC163">
        <f t="shared" si="26"/>
        <v>0</v>
      </c>
      <c r="AD163">
        <f t="shared" si="26"/>
        <v>0</v>
      </c>
      <c r="AE163">
        <f t="shared" si="26"/>
        <v>0</v>
      </c>
      <c r="AF163">
        <f t="shared" si="26"/>
        <v>0</v>
      </c>
      <c r="AG163">
        <f t="shared" si="26"/>
        <v>0</v>
      </c>
      <c r="AH163">
        <f t="shared" si="26"/>
        <v>0</v>
      </c>
      <c r="AI163">
        <f t="shared" si="25"/>
        <v>0</v>
      </c>
      <c r="AJ163">
        <f t="shared" si="25"/>
        <v>0</v>
      </c>
      <c r="AK163">
        <f t="shared" si="25"/>
        <v>0</v>
      </c>
      <c r="AL163">
        <f t="shared" si="25"/>
        <v>0</v>
      </c>
    </row>
    <row r="164" spans="1:38" x14ac:dyDescent="0.25">
      <c r="A164" t="s">
        <v>394</v>
      </c>
      <c r="B164" t="s">
        <v>395</v>
      </c>
      <c r="C164" t="s">
        <v>444</v>
      </c>
      <c r="D164" t="s">
        <v>337</v>
      </c>
      <c r="E164" s="9">
        <v>41884</v>
      </c>
      <c r="F164" s="9">
        <v>42979</v>
      </c>
      <c r="G164" s="2">
        <v>365250000</v>
      </c>
      <c r="H164">
        <v>150</v>
      </c>
      <c r="I164" t="s">
        <v>445</v>
      </c>
      <c r="J164" t="s">
        <v>445</v>
      </c>
      <c r="K164" s="9">
        <v>42430</v>
      </c>
      <c r="L164" s="2">
        <v>365250000</v>
      </c>
      <c r="M164">
        <v>75</v>
      </c>
      <c r="N164" s="2">
        <v>48750000</v>
      </c>
      <c r="O164">
        <v>0</v>
      </c>
      <c r="P164" t="s">
        <v>446</v>
      </c>
      <c r="Q164">
        <f t="shared" si="23"/>
        <v>2014</v>
      </c>
      <c r="R164">
        <f t="shared" si="24"/>
        <v>2017</v>
      </c>
      <c r="S164">
        <f t="shared" si="26"/>
        <v>0</v>
      </c>
      <c r="T164">
        <f t="shared" si="26"/>
        <v>0</v>
      </c>
      <c r="U164">
        <f t="shared" si="26"/>
        <v>0</v>
      </c>
      <c r="V164">
        <f t="shared" si="26"/>
        <v>0</v>
      </c>
      <c r="W164">
        <f t="shared" si="26"/>
        <v>0</v>
      </c>
      <c r="X164">
        <f t="shared" si="26"/>
        <v>0</v>
      </c>
      <c r="Y164">
        <f t="shared" si="26"/>
        <v>0</v>
      </c>
      <c r="Z164">
        <f t="shared" si="26"/>
        <v>0</v>
      </c>
      <c r="AA164">
        <f t="shared" si="26"/>
        <v>0</v>
      </c>
      <c r="AB164">
        <f t="shared" si="26"/>
        <v>1</v>
      </c>
      <c r="AC164">
        <f t="shared" si="26"/>
        <v>1</v>
      </c>
      <c r="AD164">
        <f t="shared" si="26"/>
        <v>1</v>
      </c>
      <c r="AE164">
        <f t="shared" si="26"/>
        <v>1</v>
      </c>
      <c r="AF164">
        <f t="shared" si="26"/>
        <v>0</v>
      </c>
      <c r="AG164">
        <f t="shared" si="26"/>
        <v>0</v>
      </c>
      <c r="AH164">
        <f t="shared" si="26"/>
        <v>0</v>
      </c>
      <c r="AI164">
        <f t="shared" si="25"/>
        <v>0</v>
      </c>
      <c r="AJ164">
        <f t="shared" si="25"/>
        <v>0</v>
      </c>
      <c r="AK164">
        <f t="shared" si="25"/>
        <v>0</v>
      </c>
      <c r="AL164">
        <f t="shared" si="25"/>
        <v>0</v>
      </c>
    </row>
    <row r="165" spans="1:38" x14ac:dyDescent="0.25">
      <c r="A165" t="s">
        <v>212</v>
      </c>
      <c r="B165" t="s">
        <v>396</v>
      </c>
      <c r="C165" t="s">
        <v>444</v>
      </c>
      <c r="D165" t="s">
        <v>337</v>
      </c>
      <c r="E165" s="9">
        <v>39603</v>
      </c>
      <c r="F165" s="9">
        <v>40697</v>
      </c>
      <c r="G165" s="2">
        <v>48910000</v>
      </c>
      <c r="H165">
        <v>10</v>
      </c>
      <c r="I165" t="s">
        <v>445</v>
      </c>
      <c r="J165" t="s">
        <v>445</v>
      </c>
      <c r="K165" s="9">
        <v>40723</v>
      </c>
      <c r="L165" s="2">
        <v>220095000</v>
      </c>
      <c r="M165">
        <v>22.5</v>
      </c>
      <c r="N165" s="2">
        <v>220095000</v>
      </c>
      <c r="O165">
        <v>0</v>
      </c>
      <c r="P165" t="s">
        <v>446</v>
      </c>
      <c r="Q165">
        <f t="shared" si="23"/>
        <v>2008</v>
      </c>
      <c r="R165">
        <f t="shared" si="24"/>
        <v>2011</v>
      </c>
      <c r="S165">
        <f t="shared" si="26"/>
        <v>0</v>
      </c>
      <c r="T165">
        <f t="shared" si="26"/>
        <v>0</v>
      </c>
      <c r="U165">
        <f t="shared" si="26"/>
        <v>0</v>
      </c>
      <c r="V165">
        <f t="shared" si="26"/>
        <v>1</v>
      </c>
      <c r="W165">
        <f t="shared" si="26"/>
        <v>1</v>
      </c>
      <c r="X165">
        <f t="shared" si="26"/>
        <v>1</v>
      </c>
      <c r="Y165">
        <f t="shared" si="26"/>
        <v>1</v>
      </c>
      <c r="Z165">
        <f t="shared" si="26"/>
        <v>0</v>
      </c>
      <c r="AA165">
        <f t="shared" si="26"/>
        <v>0</v>
      </c>
      <c r="AB165">
        <f t="shared" si="26"/>
        <v>0</v>
      </c>
      <c r="AC165">
        <f t="shared" si="26"/>
        <v>0</v>
      </c>
      <c r="AD165">
        <f t="shared" si="26"/>
        <v>0</v>
      </c>
      <c r="AE165">
        <f t="shared" si="26"/>
        <v>0</v>
      </c>
      <c r="AF165">
        <f t="shared" si="26"/>
        <v>0</v>
      </c>
      <c r="AG165">
        <f t="shared" si="26"/>
        <v>0</v>
      </c>
      <c r="AH165">
        <f t="shared" si="26"/>
        <v>0</v>
      </c>
      <c r="AI165">
        <f t="shared" si="25"/>
        <v>0</v>
      </c>
      <c r="AJ165">
        <f t="shared" si="25"/>
        <v>0</v>
      </c>
      <c r="AK165">
        <f t="shared" si="25"/>
        <v>0</v>
      </c>
      <c r="AL165">
        <f t="shared" si="25"/>
        <v>0</v>
      </c>
    </row>
    <row r="166" spans="1:38" x14ac:dyDescent="0.25">
      <c r="A166" t="s">
        <v>212</v>
      </c>
      <c r="B166" t="s">
        <v>396</v>
      </c>
      <c r="C166" t="s">
        <v>444</v>
      </c>
      <c r="D166" t="s">
        <v>337</v>
      </c>
      <c r="E166" s="9">
        <v>44804</v>
      </c>
      <c r="F166" s="9">
        <v>45960</v>
      </c>
      <c r="G166" s="2">
        <v>978200000</v>
      </c>
      <c r="H166">
        <v>100</v>
      </c>
      <c r="I166" t="s">
        <v>445</v>
      </c>
      <c r="J166" t="s">
        <v>445</v>
      </c>
      <c r="K166" s="9">
        <v>45960</v>
      </c>
      <c r="L166" s="2">
        <v>1271660000</v>
      </c>
      <c r="M166">
        <v>130</v>
      </c>
      <c r="N166" s="2">
        <v>992860000</v>
      </c>
      <c r="O166" s="2">
        <v>992860000</v>
      </c>
      <c r="P166" t="s">
        <v>451</v>
      </c>
      <c r="Q166">
        <f t="shared" si="23"/>
        <v>2022</v>
      </c>
      <c r="R166">
        <f t="shared" si="24"/>
        <v>2024</v>
      </c>
      <c r="S166">
        <f t="shared" si="26"/>
        <v>0</v>
      </c>
      <c r="T166">
        <f t="shared" si="26"/>
        <v>0</v>
      </c>
      <c r="U166">
        <f t="shared" si="26"/>
        <v>0</v>
      </c>
      <c r="V166">
        <f t="shared" si="26"/>
        <v>0</v>
      </c>
      <c r="W166">
        <f t="shared" si="26"/>
        <v>0</v>
      </c>
      <c r="X166">
        <f t="shared" si="26"/>
        <v>0</v>
      </c>
      <c r="Y166">
        <f t="shared" si="26"/>
        <v>0</v>
      </c>
      <c r="Z166">
        <f t="shared" si="26"/>
        <v>0</v>
      </c>
      <c r="AA166">
        <f t="shared" si="26"/>
        <v>0</v>
      </c>
      <c r="AB166">
        <f t="shared" si="26"/>
        <v>0</v>
      </c>
      <c r="AC166">
        <f t="shared" si="26"/>
        <v>0</v>
      </c>
      <c r="AD166">
        <f t="shared" si="26"/>
        <v>0</v>
      </c>
      <c r="AE166">
        <f t="shared" si="26"/>
        <v>0</v>
      </c>
      <c r="AF166">
        <f t="shared" si="26"/>
        <v>0</v>
      </c>
      <c r="AG166">
        <f t="shared" si="26"/>
        <v>0</v>
      </c>
      <c r="AH166">
        <f t="shared" si="26"/>
        <v>0</v>
      </c>
      <c r="AI166">
        <f t="shared" si="25"/>
        <v>0</v>
      </c>
      <c r="AJ166">
        <f t="shared" si="25"/>
        <v>1</v>
      </c>
      <c r="AK166">
        <f t="shared" si="25"/>
        <v>1</v>
      </c>
      <c r="AL166">
        <f t="shared" si="25"/>
        <v>1</v>
      </c>
    </row>
    <row r="167" spans="1:38" x14ac:dyDescent="0.25">
      <c r="A167" t="s">
        <v>457</v>
      </c>
      <c r="G167" s="2">
        <v>30861268000</v>
      </c>
      <c r="L167" s="2">
        <v>33976309500</v>
      </c>
      <c r="N167" s="2">
        <v>22822553639</v>
      </c>
      <c r="O167" s="2">
        <v>14947879316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CC0A34B3A6D3B40927557A1B041BDE3" ma:contentTypeVersion="12" ma:contentTypeDescription="Create a new document." ma:contentTypeScope="" ma:versionID="ebce7c7b297da2c98fd5636e4a13e307">
  <xsd:schema xmlns:xsd="http://www.w3.org/2001/XMLSchema" xmlns:xs="http://www.w3.org/2001/XMLSchema" xmlns:p="http://schemas.microsoft.com/office/2006/metadata/properties" xmlns:ns2="a234ba1d-9967-4080-847c-2fc34f64b8ca" xmlns:ns3="bfa9e1ee-5524-4fab-801b-66d9baa27028" targetNamespace="http://schemas.microsoft.com/office/2006/metadata/properties" ma:root="true" ma:fieldsID="b786cb5e99556f470c7eb85057a17896" ns2:_="" ns3:_="">
    <xsd:import namespace="a234ba1d-9967-4080-847c-2fc34f64b8ca"/>
    <xsd:import namespace="bfa9e1ee-5524-4fab-801b-66d9baa270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34ba1d-9967-4080-847c-2fc34f64b8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81b0229-19ef-4425-8520-9f00e8db620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a9e1ee-5524-4fab-801b-66d9baa2702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1f9aadf-6fc1-42f7-8ed3-16b2478672c7}" ma:internalName="TaxCatchAll" ma:showField="CatchAllData" ma:web="bfa9e1ee-5524-4fab-801b-66d9baa270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234ba1d-9967-4080-847c-2fc34f64b8ca">
      <Terms xmlns="http://schemas.microsoft.com/office/infopath/2007/PartnerControls"/>
    </lcf76f155ced4ddcb4097134ff3c332f>
    <TaxCatchAll xmlns="bfa9e1ee-5524-4fab-801b-66d9baa27028" xsi:nil="true"/>
  </documentManagement>
</p:properties>
</file>

<file path=customXml/itemProps1.xml><?xml version="1.0" encoding="utf-8"?>
<ds:datastoreItem xmlns:ds="http://schemas.openxmlformats.org/officeDocument/2006/customXml" ds:itemID="{30C367F8-175C-47E3-8A02-BFC0F1E85E3A}">
  <ds:schemaRefs>
    <ds:schemaRef ds:uri="http://schemas.microsoft.com/sharepoint/v3/contenttype/forms"/>
  </ds:schemaRefs>
</ds:datastoreItem>
</file>

<file path=customXml/itemProps2.xml><?xml version="1.0" encoding="utf-8"?>
<ds:datastoreItem xmlns:ds="http://schemas.openxmlformats.org/officeDocument/2006/customXml" ds:itemID="{CAF92555-8D0D-48B4-889E-67CAFA1358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34ba1d-9967-4080-847c-2fc34f64b8ca"/>
    <ds:schemaRef ds:uri="bfa9e1ee-5524-4fab-801b-66d9baa270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7023DAD-A228-42B0-B982-2BEEA6FECBBF}">
  <ds:schemaRefs>
    <ds:schemaRef ds:uri="http://schemas.microsoft.com/office/2006/metadata/properties"/>
    <ds:schemaRef ds:uri="http://schemas.microsoft.com/office/infopath/2007/PartnerControls"/>
    <ds:schemaRef ds:uri="a234ba1d-9967-4080-847c-2fc34f64b8ca"/>
    <ds:schemaRef ds:uri="bfa9e1ee-5524-4fab-801b-66d9baa2702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Country Classification</vt:lpstr>
      <vt:lpstr>Case Studies - Focus Group</vt:lpstr>
      <vt:lpstr>Country Classification - Filter</vt:lpstr>
      <vt:lpstr>HIPC-Distress Matrix</vt:lpstr>
      <vt:lpstr>Debt Transparency WBHM</vt:lpstr>
      <vt:lpstr>EW Comments' Tracker</vt:lpstr>
      <vt:lpstr>Other &gt;&gt;</vt:lpstr>
      <vt:lpstr>IMF Program Related Disb.</vt:lpstr>
      <vt:lpstr>Repeated Prog</vt:lpstr>
    </vt:vector>
  </TitlesOfParts>
  <Manager/>
  <Company>IMF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Vannier Harnoys, Brendan</dc:creator>
  <cp:keywords/>
  <dc:description/>
  <cp:lastModifiedBy>Harnoys Vannier, Brendan</cp:lastModifiedBy>
  <cp:revision/>
  <dcterms:created xsi:type="dcterms:W3CDTF">2025-04-08T19:38:03Z</dcterms:created>
  <dcterms:modified xsi:type="dcterms:W3CDTF">2026-03-26T00:18:33Z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2025-04-08T22:58:40Z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c723aefe-ed5e-45b0-b1ea-09aac29dd364</vt:lpwstr>
  </property>
  <property fmtid="{D5CDD505-2E9C-101B-9397-08002B2CF9AE}" pid="8" name="MSIP_Label_0c07ed86-5dc5-4593-ad03-a8684b843815_ContentBits">
    <vt:lpwstr>0</vt:lpwstr>
  </property>
  <property fmtid="{D5CDD505-2E9C-101B-9397-08002B2CF9AE}" pid="9" name="ContentTypeId">
    <vt:lpwstr>0x0101009CC0A34B3A6D3B40927557A1B041BDE3</vt:lpwstr>
  </property>
  <property fmtid="{D5CDD505-2E9C-101B-9397-08002B2CF9AE}" pid="10" name="{A44787D4-0540-4523-9961-78E4036D8C6D}">
    <vt:lpwstr>{34C2A6E0-B607-4093-9EE8-E55E4D4ADE5E}</vt:lpwstr>
  </property>
  <property fmtid="{D5CDD505-2E9C-101B-9397-08002B2CF9AE}" pid="11" name="Order">
    <vt:r8>1016100</vt:r8>
  </property>
  <property fmtid="{D5CDD505-2E9C-101B-9397-08002B2CF9AE}" pid="12" name="ComplianceAssetId">
    <vt:lpwstr/>
  </property>
  <property fmtid="{D5CDD505-2E9C-101B-9397-08002B2CF9AE}" pid="13" name="_ExtendedDescription">
    <vt:lpwstr/>
  </property>
  <property fmtid="{D5CDD505-2E9C-101B-9397-08002B2CF9AE}" pid="14" name="TriggerFlowInfo">
    <vt:lpwstr/>
  </property>
  <property fmtid="{D5CDD505-2E9C-101B-9397-08002B2CF9AE}" pid="15" name="MediaServiceImageTags">
    <vt:lpwstr/>
  </property>
</Properties>
</file>